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Story Backlog" sheetId="1" state="visible" r:id="rId3"/>
    <sheet name="Sub-task Tracker" sheetId="2" state="visible" r:id="rId4"/>
    <sheet name="Sprint Dashboard" sheetId="3" state="visible" r:id="rId5"/>
    <sheet name="MCP Tools Map" sheetId="4" state="visible" r:id="rId6"/>
    <sheet name="KPI Metrics Framework" sheetId="5" state="visible" r:id="rId7"/>
    <sheet name="Roles &amp; Responsibilities" sheetId="6" state="visible" r:id="rId8"/>
  </sheets>
  <definedNames>
    <definedName function="false" hidden="true" localSheetId="1" name="_xlnm._FilterDatabase" vbProcedure="false">'Sub-task Tracker'!$A$3:$R$3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<sst xmlns="http://schemas.openxmlformats.org/spreadsheetml/2006/main" count="904" uniqueCount="397">
  <si>
    <t xml:space="preserve">📋  AI Inbox Management — User Story Backlog</t>
  </si>
  <si>
    <t xml:space="preserve">Epic ID</t>
  </si>
  <si>
    <t xml:space="preserve">Epic Name</t>
  </si>
  <si>
    <t xml:space="preserve">Story ID</t>
  </si>
  <si>
    <t xml:space="preserve">User Story</t>
  </si>
  <si>
    <t xml:space="preserve">Business Objective</t>
  </si>
  <si>
    <t xml:space="preserve">Acceptance Criteria</t>
  </si>
  <si>
    <t xml:space="preserve">Priority</t>
  </si>
  <si>
    <t xml:space="preserve">Sprint</t>
  </si>
  <si>
    <t xml:space="preserve">Story Points</t>
  </si>
  <si>
    <t xml:space="preserve">Status</t>
  </si>
  <si>
    <t xml:space="preserve">% Complete</t>
  </si>
  <si>
    <t xml:space="preserve">E1</t>
  </si>
  <si>
    <t xml:space="preserve">Inbox Monitoring &amp; Intake</t>
  </si>
  <si>
    <t xml:space="preserve">US-E1-01</t>
  </si>
  <si>
    <t xml:space="preserve">As an Inbox Analyst, I want all inbound emails auto-ingested from Gmail and Outlook so that no customer email is ever missed.</t>
  </si>
  <si>
    <t xml:space="preserve">Ensure 100% email capture from all source systems within 30 seconds of receipt</t>
  </si>
  <si>
    <t xml:space="preserve">✅ Email ingested within 30 sec
✅ No email missed in 24hr window
✅ Metadata (sender, subject, timestamp) extracted
✅ Source system tagged on each record</t>
  </si>
  <si>
    <t xml:space="preserve">High</t>
  </si>
  <si>
    <t xml:space="preserve">Sprint 1</t>
  </si>
  <si>
    <t xml:space="preserve">Not Started</t>
  </si>
  <si>
    <t xml:space="preserve">US-E1-02</t>
  </si>
  <si>
    <t xml:space="preserve">As an Inbox Analyst, I want an automatic acknowledgement sent to every customer so that they know their email was received.</t>
  </si>
  <si>
    <t xml:space="preserve">Reduce customer anxiety and set expectation of response time via auto-ACK</t>
  </si>
  <si>
    <t xml:space="preserve">✅ Auto-ACK sent within 5 minutes
✅ Case reference number included
✅ ACK logged against the email record
✅ 100% coverage — no email skipped</t>
  </si>
  <si>
    <t xml:space="preserve">E2</t>
  </si>
  <si>
    <t xml:space="preserve">Categorization &amp; Tagging</t>
  </si>
  <si>
    <t xml:space="preserve">US-E2-01</t>
  </si>
  <si>
    <t xml:space="preserve">As an Inbox Analyst, I want every email automatically classified by type and priority so that I don't have to manually read and sort each one.</t>
  </si>
  <si>
    <t xml:space="preserve">Eliminate manual triage effort and drive consistent, accurate routing through AI classification</t>
  </si>
  <si>
    <t xml:space="preserve">✅ &gt;90% classification accuracy
✅ Confidence score on every email
✅ Low-confidence (&lt;70%) flagged for human review
✅ Tags written to ticketing system within 10 sec</t>
  </si>
  <si>
    <t xml:space="preserve">Sprint 2</t>
  </si>
  <si>
    <t xml:space="preserve">US-E2-02</t>
  </si>
  <si>
    <t xml:space="preserve">As a Team Lead, I want negative or angry emails automatically flagged so that escalation-risk cases are prioritised before they escalate further.</t>
  </si>
  <si>
    <t xml:space="preserve">Reduce escalations and protect CSAT by catching at-risk emails in real time</t>
  </si>
  <si>
    <t xml:space="preserve">✅ Sentiment scored on every email (positive/neutral/negative/angry)
✅ Negative sentiment flagged in real time
✅ Escalation-flagged emails jump to top of queue
✅ Slack alert sent to Team Lead within 1 min</t>
  </si>
  <si>
    <t xml:space="preserve">E3</t>
  </si>
  <si>
    <t xml:space="preserve">Triage &amp; Routing</t>
  </si>
  <si>
    <t xml:space="preserve">US-E3-01</t>
  </si>
  <si>
    <t xml:space="preserve">As an Inbox Analyst, I want every email automatically routed to the correct team or queue so that no email lands in the wrong place and time is not wasted.</t>
  </si>
  <si>
    <t xml:space="preserve">Achieve 95%+ routing accuracy to reduce mis-routing, rework, and customer wait time</t>
  </si>
  <si>
    <t xml:space="preserve">✅ 95%+ routing accuracy
✅ Mis-routes &lt; 5%
✅ Every routing decision logged with reason
✅ Manual override available to Team Lead
✅ Routing completes within 15 seconds</t>
  </si>
  <si>
    <t xml:space="preserve">Sprint 3</t>
  </si>
  <si>
    <t xml:space="preserve">E4</t>
  </si>
  <si>
    <t xml:space="preserve">Response Management</t>
  </si>
  <si>
    <t xml:space="preserve">US-E4-01</t>
  </si>
  <si>
    <t xml:space="preserve">As an Inbox Analyst, I want AI to draft my email replies so that I only need to review and approve, not write from scratch.</t>
  </si>
  <si>
    <t xml:space="preserve">Cut average handling time by 40% through AI-assisted response drafting</t>
  </si>
  <si>
    <t xml:space="preserve">✅ Draft generated in &lt; 5 seconds
✅ Tone is professional (no casual language)
✅ Customer name and case ID included
✅ Analyst can edit before send
✅ Sent email logged to CRM automatically</t>
  </si>
  <si>
    <t xml:space="preserve">Sprint 4</t>
  </si>
  <si>
    <t xml:space="preserve">US-E4-02</t>
  </si>
  <si>
    <t xml:space="preserve">As a Compliance Officer, I want every outbound email scanned for PII before it is sent so that we never violate HIPAA, GDPR, or SOC 2.</t>
  </si>
  <si>
    <t xml:space="preserve">Achieve zero compliance violations in outbound communications</t>
  </si>
  <si>
    <t xml:space="preserve">✅ PII detected 100% before outbound send
✅ PII-containing emails blocked — hard stop
✅ Compliance violation logged immediately
✅ Compliance officer alerted on every block
✅ Zero compliance violations in audit</t>
  </si>
  <si>
    <t xml:space="preserve">Critical</t>
  </si>
  <si>
    <t xml:space="preserve">E5</t>
  </si>
  <si>
    <t xml:space="preserve">SLA &amp; Follow-up Management</t>
  </si>
  <si>
    <t xml:space="preserve">US-E5-01</t>
  </si>
  <si>
    <t xml:space="preserve">As a Team Lead, I want every email tracked against its SLA deadline so that I can see what is at risk and take action before a breach occurs.</t>
  </si>
  <si>
    <t xml:space="preserve">Achieve &gt;95% SLA compliance by proactive alerting, not reactive firefighting</t>
  </si>
  <si>
    <t xml:space="preserve">✅ SLA timer starts at email receipt
✅ Alert fires at 80% of SLA elapsed
✅ Auto-escalation triggers at 100% (breach)
✅ SLA compliance % visible on dashboard
✅ All escalations logged with timestamp</t>
  </si>
  <si>
    <t xml:space="preserve">Sprint 5</t>
  </si>
  <si>
    <t xml:space="preserve">E6</t>
  </si>
  <si>
    <t xml:space="preserve">Documentation &amp; Audit Trail</t>
  </si>
  <si>
    <t xml:space="preserve">US-E6-01</t>
  </si>
  <si>
    <t xml:space="preserve">As a Compliance Officer, I want a complete, tamper-proof audit trail for every email interaction so that we are always audit-ready.</t>
  </si>
  <si>
    <t xml:space="preserve">Ensure 100% audit completeness and zero compliance gaps for every email handled</t>
  </si>
  <si>
    <t xml:space="preserve">✅ 100% of emails logged — nothing missed
✅ Log includes timestamp, agent ID, action taken
✅ Attachments archived and linked to case
✅ Searchable by case ID / sender / date range
✅ Export available as PDF or Excel</t>
  </si>
  <si>
    <t xml:space="preserve">E7</t>
  </si>
  <si>
    <t xml:space="preserve">Analytics &amp; Continuous Improvement</t>
  </si>
  <si>
    <t xml:space="preserve">US-E7-01</t>
  </si>
  <si>
    <t xml:space="preserve">As an Ops Manager, I want a real-time KPI dashboard so that I can manage team performance and SLA health at a glance.</t>
  </si>
  <si>
    <t xml:space="preserve">Give leadership instant visibility across all 6 KPI categories to drive data-driven decisions</t>
  </si>
  <si>
    <t xml:space="preserve">✅ Dashboard refreshes every 5 minutes
✅ All 6 KPI categories visible
✅ Date range filters work
✅ Export to Excel/PDF available
✅ Role-based view (Manager vs Analyst)</t>
  </si>
  <si>
    <t xml:space="preserve">Medium</t>
  </si>
  <si>
    <t xml:space="preserve">Sprint 6</t>
  </si>
  <si>
    <t xml:space="preserve">US-E7-02</t>
  </si>
  <si>
    <t xml:space="preserve">As an Automation Analyst, I want the system to identify repetitive query patterns weekly so that I can automate them and reduce manual effort.</t>
  </si>
  <si>
    <t xml:space="preserve">Reduce manual email handling by 30%+ through data-driven automation identification</t>
  </si>
  <si>
    <t xml:space="preserve">✅ Top 10 repetitive query types surfaced weekly
✅ KB update recommendations auto-generated
✅ Manual effort % tracked month-on-month
✅ Weekly report auto-posted to Slack</t>
  </si>
  <si>
    <t xml:space="preserve">🔧  Sub-task Tracker — Daily Work Progress</t>
  </si>
  <si>
    <t xml:space="preserve">  ℹ️  Update Status &amp; Completed Date to track progress. Story % Complete on Sheet 1 updates automatically.</t>
  </si>
  <si>
    <t xml:space="preserve">S.No</t>
  </si>
  <si>
    <t xml:space="preserve">Sub-task ID</t>
  </si>
  <si>
    <t xml:space="preserve">Summary</t>
  </si>
  <si>
    <t xml:space="preserve">Assignee</t>
  </si>
  <si>
    <t xml:space="preserve">Blocked?</t>
  </si>
  <si>
    <t xml:space="preserve">Dependencies</t>
  </si>
  <si>
    <t xml:space="preserve">Start Date</t>
  </si>
  <si>
    <t xml:space="preserve">End Date</t>
  </si>
  <si>
    <t xml:space="preserve">Completed Date</t>
  </si>
  <si>
    <t xml:space="preserve">Days Left</t>
  </si>
  <si>
    <t xml:space="preserve">Progress Notes</t>
  </si>
  <si>
    <t xml:space="preserve">Comments</t>
  </si>
  <si>
    <t xml:space="preserve">ST-E1-01</t>
  </si>
  <si>
    <t xml:space="preserve">Connect Gmail via OAuth 2.0 and configure polling</t>
  </si>
  <si>
    <t xml:space="preserve">Sathishkumar</t>
  </si>
  <si>
    <t xml:space="preserve">No</t>
  </si>
  <si>
    <t xml:space="preserve">ST-E1-02</t>
  </si>
  <si>
    <t xml:space="preserve">Connect Outlook via Microsoft Graph API</t>
  </si>
  <si>
    <t xml:space="preserve">ST-E1-03</t>
  </si>
  <si>
    <t xml:space="preserve">Connect Zendesk &amp; Freshdesk ticket ingestion</t>
  </si>
  <si>
    <t xml:space="preserve">ST-E1-04</t>
  </si>
  <si>
    <t xml:space="preserve">Build email metadata extraction (sender, subject, body, timestamp)</t>
  </si>
  <si>
    <t xml:space="preserve">ST-E1-05</t>
  </si>
  <si>
    <t xml:space="preserve">Build auto-ACK reply engine with case ID generator</t>
  </si>
  <si>
    <t xml:space="preserve">ST-E1-06</t>
  </si>
  <si>
    <t xml:space="preserve">Store attachments via filesystem-mcp and link to case</t>
  </si>
  <si>
    <t xml:space="preserve">ST-E1-07</t>
  </si>
  <si>
    <t xml:space="preserve">Write intake event to audit log (AG-06)</t>
  </si>
  <si>
    <t xml:space="preserve">ST-E2-01</t>
  </si>
  <si>
    <t xml:space="preserve">Design classification taxonomy (billing/HR/IT/complaint/query/other)</t>
  </si>
  <si>
    <t xml:space="preserve">ST-E2-02</t>
  </si>
  <si>
    <t xml:space="preserve">Build Claude API classification prompt with structured JSON output</t>
  </si>
  <si>
    <t xml:space="preserve">ST-E2-03</t>
  </si>
  <si>
    <t xml:space="preserve">Implement confidence threshold logic and human-review queue</t>
  </si>
  <si>
    <t xml:space="preserve">ST-E2-04</t>
  </si>
  <si>
    <t xml:space="preserve">Write classification tags to Freshdesk/ServiceNow via MCP</t>
  </si>
  <si>
    <t xml:space="preserve">ST-E2-05</t>
  </si>
  <si>
    <t xml:space="preserve">Build fallback keyword classifier for LLM timeout scenarios</t>
  </si>
  <si>
    <t xml:space="preserve">ST-E2-06</t>
  </si>
  <si>
    <t xml:space="preserve">Build Claude sentiment detection prompt (score -1.0 to +1.0)</t>
  </si>
  <si>
    <t xml:space="preserve">ST-E2-07</t>
  </si>
  <si>
    <t xml:space="preserve">Implement escalation flag logic (score &lt; -0.5 = flag)</t>
  </si>
  <si>
    <t xml:space="preserve">ST-E2-08</t>
  </si>
  <si>
    <t xml:space="preserve">Trigger Slack alert to Team Lead on escalation flag</t>
  </si>
  <si>
    <t xml:space="preserve">ST-E2-09</t>
  </si>
  <si>
    <t xml:space="preserve">Store sentiment score in postgres-mcp for dashboard</t>
  </si>
  <si>
    <t xml:space="preserve">ST-E3-01</t>
  </si>
  <si>
    <t xml:space="preserve">Build routing rules matrix (billing→Finance, IT→IT Support, etc.)</t>
  </si>
  <si>
    <t xml:space="preserve">ST-E3-02</t>
  </si>
  <si>
    <t xml:space="preserve">Implement Claude fallback routing for unmatched rule cases</t>
  </si>
  <si>
    <t xml:space="preserve">ST-E3-03</t>
  </si>
  <si>
    <t xml:space="preserve">Assign ticket to correct team in ServiceNow / Jira via MCP</t>
  </si>
  <si>
    <t xml:space="preserve">ST-E3-04</t>
  </si>
  <si>
    <t xml:space="preserve">Log routing decision + reason to postgres audit trail</t>
  </si>
  <si>
    <t xml:space="preserve">ST-E3-05</t>
  </si>
  <si>
    <t xml:space="preserve">Build Team Lead manual override UI on dashboard</t>
  </si>
  <si>
    <t xml:space="preserve">Low</t>
  </si>
  <si>
    <t xml:space="preserve">ST-E4-01</t>
  </si>
  <si>
    <t xml:space="preserve">Fetch customer history from CRM via crm-mcp for context</t>
  </si>
  <si>
    <t xml:space="preserve">ST-E4-02</t>
  </si>
  <si>
    <t xml:space="preserve">Build Claude response drafting prompt (tone + compliance rules)</t>
  </si>
  <si>
    <t xml:space="preserve">ST-E4-03</t>
  </si>
  <si>
    <t xml:space="preserve">Build human-in-loop analyst review &amp; edit UI</t>
  </si>
  <si>
    <t xml:space="preserve">ST-E4-04</t>
  </si>
  <si>
    <t xml:space="preserve">Send approved email via gmail-mcp / outlook-mcp</t>
  </si>
  <si>
    <t xml:space="preserve">ST-E4-05</t>
  </si>
  <si>
    <t xml:space="preserve">Log sent email to CRM and audit trail</t>
  </si>
  <si>
    <t xml:space="preserve">ST-E4-06</t>
  </si>
  <si>
    <t xml:space="preserve">Build PII detection scanner (regex + Claude) for outbound emails</t>
  </si>
  <si>
    <t xml:space="preserve">ST-E4-07</t>
  </si>
  <si>
    <t xml:space="preserve">Implement hard-block on send when PII detected</t>
  </si>
  <si>
    <t xml:space="preserve">ST-E4-08</t>
  </si>
  <si>
    <t xml:space="preserve">Log compliance violation + alert compliance officer via Slack</t>
  </si>
  <si>
    <t xml:space="preserve">ST-E5-01</t>
  </si>
  <si>
    <t xml:space="preserve">Store SLA deadline per email in postgres on intake</t>
  </si>
  <si>
    <t xml:space="preserve">ST-E5-02</t>
  </si>
  <si>
    <t xml:space="preserve">Build cron job to check SLA status every 5 minutes</t>
  </si>
  <si>
    <t xml:space="preserve">ST-E5-03</t>
  </si>
  <si>
    <t xml:space="preserve">Fire Slack + email alert at 80% SLA elapsed</t>
  </si>
  <si>
    <t xml:space="preserve">ST-E5-04</t>
  </si>
  <si>
    <t xml:space="preserve">Auto-escalate to Team Lead queue at 100% breach</t>
  </si>
  <si>
    <t xml:space="preserve">ST-E5-05</t>
  </si>
  <si>
    <t xml:space="preserve">Feed SLA data to real-time dashboard</t>
  </si>
  <si>
    <t xml:space="preserve">ST-E6-01</t>
  </si>
  <si>
    <t xml:space="preserve">Build append-only event log schema in postgres-mcp</t>
  </si>
  <si>
    <t xml:space="preserve">ST-E6-02</t>
  </si>
  <si>
    <t xml:space="preserve">Log every agent action as structured event (type, agent, email_id, timestamp)</t>
  </si>
  <si>
    <t xml:space="preserve">ST-E6-03</t>
  </si>
  <si>
    <t xml:space="preserve">Sync interaction records to Salesforce / HubSpot via CRM MCP</t>
  </si>
  <si>
    <t xml:space="preserve">ST-E6-04</t>
  </si>
  <si>
    <t xml:space="preserve">Archive attachments to filesystem-mcp with case linkage</t>
  </si>
  <si>
    <t xml:space="preserve">ST-E6-05</t>
  </si>
  <si>
    <t xml:space="preserve">Build audit export to Excel/PDF functionality</t>
  </si>
  <si>
    <t xml:space="preserve">ST-E7-01</t>
  </si>
  <si>
    <t xml:space="preserve">Aggregate KPI data from postgres via SQL queries</t>
  </si>
  <si>
    <t xml:space="preserve">ST-E7-02</t>
  </si>
  <si>
    <t xml:space="preserve">Build REST API to serve KPI data to dashboard</t>
  </si>
  <si>
    <t xml:space="preserve">ST-E7-03</t>
  </si>
  <si>
    <t xml:space="preserve">Build React KPI dashboard with 5-min auto-refresh</t>
  </si>
  <si>
    <t xml:space="preserve">ST-E7-04</t>
  </si>
  <si>
    <t xml:space="preserve">Implement date range filters and role-based access</t>
  </si>
  <si>
    <t xml:space="preserve">ST-E7-05</t>
  </si>
  <si>
    <t xml:space="preserve">Add export to Google Sheets via google-sheets-mcp</t>
  </si>
  <si>
    <t xml:space="preserve">ST-E7-06</t>
  </si>
  <si>
    <t xml:space="preserve">Build Claude pattern-mining prompt over weekly classification data</t>
  </si>
  <si>
    <t xml:space="preserve">ST-E7-07</t>
  </si>
  <si>
    <t xml:space="preserve">Generate structured automation opportunity report</t>
  </si>
  <si>
    <t xml:space="preserve">ST-E7-08</t>
  </si>
  <si>
    <t xml:space="preserve">Auto-post weekly insight report to Slack channel</t>
  </si>
  <si>
    <t xml:space="preserve">📊  Sprint Dashboard — Progress at a Glance</t>
  </si>
  <si>
    <t xml:space="preserve">Dates</t>
  </si>
  <si>
    <t xml:space="preserve">Total Stories</t>
  </si>
  <si>
    <t xml:space="preserve">Total Sub-tasks</t>
  </si>
  <si>
    <t xml:space="preserve">Done</t>
  </si>
  <si>
    <t xml:space="preserve">In Progress</t>
  </si>
  <si>
    <t xml:space="preserve">01 Apr – 14 Apr 2026</t>
  </si>
  <si>
    <t xml:space="preserve">15 Apr – 28 Apr 2026</t>
  </si>
  <si>
    <t xml:space="preserve">29 Apr – 12 May 2026</t>
  </si>
  <si>
    <t xml:space="preserve">13 May – 26 May 2026</t>
  </si>
  <si>
    <t xml:space="preserve">27 May – 09 Jun 2026</t>
  </si>
  <si>
    <t xml:space="preserve">10 Jun – 23 Jun 2026</t>
  </si>
  <si>
    <t xml:space="preserve">📌  OVERALL PROJECT</t>
  </si>
  <si>
    <t xml:space="preserve">📦  PROGRESS BY EPIC</t>
  </si>
  <si>
    <t xml:space="preserve">Stories</t>
  </si>
  <si>
    <t xml:space="preserve">Sub-tasks</t>
  </si>
  <si>
    <t xml:space="preserve">MCP Tools — Master Reference Map</t>
  </si>
  <si>
    <t xml:space="preserve">MCP Tool</t>
  </si>
  <si>
    <t xml:space="preserve">Category</t>
  </si>
  <si>
    <t xml:space="preserve">Purpose</t>
  </si>
  <si>
    <t xml:space="preserve">Used In Epics</t>
  </si>
  <si>
    <t xml:space="preserve">Notes</t>
  </si>
  <si>
    <t xml:space="preserve">gmail-mcp</t>
  </si>
  <si>
    <t xml:space="preserve">Email Integration</t>
  </si>
  <si>
    <t xml:space="preserve">Ingest &amp; send emails via Gmail</t>
  </si>
  <si>
    <t xml:space="preserve">E1, E4</t>
  </si>
  <si>
    <t xml:space="preserve">OAuth 2.0 required</t>
  </si>
  <si>
    <t xml:space="preserve">outlook-mcp</t>
  </si>
  <si>
    <t xml:space="preserve">Ingest &amp; send emails via Outlook/O365</t>
  </si>
  <si>
    <t xml:space="preserve">Microsoft Graph API</t>
  </si>
  <si>
    <t xml:space="preserve">zendesk-mcp</t>
  </si>
  <si>
    <t xml:space="preserve">Ticketing</t>
  </si>
  <si>
    <t xml:space="preserve">Ingest tickets from Zendesk inbox</t>
  </si>
  <si>
    <t xml:space="preserve">Zendesk API key required</t>
  </si>
  <si>
    <t xml:space="preserve">freshdesk-mcp</t>
  </si>
  <si>
    <t xml:space="preserve">Tag, route, and update tickets in Freshdesk</t>
  </si>
  <si>
    <t xml:space="preserve">E1, E2, E3</t>
  </si>
  <si>
    <t xml:space="preserve">Freshdesk API key required</t>
  </si>
  <si>
    <t xml:space="preserve">servicenow-mcp</t>
  </si>
  <si>
    <t xml:space="preserve">Ticketing / ITSM</t>
  </si>
  <si>
    <t xml:space="preserve">Route and manage IT/HR tickets</t>
  </si>
  <si>
    <t xml:space="preserve">E2, E3</t>
  </si>
  <si>
    <t xml:space="preserve">ServiceNow instance URL needed</t>
  </si>
  <si>
    <t xml:space="preserve">jira-mcp</t>
  </si>
  <si>
    <t xml:space="preserve">Project Management</t>
  </si>
  <si>
    <t xml:space="preserve">Create and assign Jira issues for routed tickets</t>
  </si>
  <si>
    <t xml:space="preserve">Jira Cloud or Server</t>
  </si>
  <si>
    <t xml:space="preserve">anthropic-claude-mcp</t>
  </si>
  <si>
    <t xml:space="preserve">AI / LLM</t>
  </si>
  <si>
    <t xml:space="preserve">Classification, sentiment, response drafting, pattern analysis</t>
  </si>
  <si>
    <t xml:space="preserve">E2, E4, E7</t>
  </si>
  <si>
    <t xml:space="preserve">Claude Sonnet recommended</t>
  </si>
  <si>
    <t xml:space="preserve">postgres-mcp</t>
  </si>
  <si>
    <t xml:space="preserve">Database</t>
  </si>
  <si>
    <t xml:space="preserve">Store logs, SLA timers, audit trail, KPI data</t>
  </si>
  <si>
    <t xml:space="preserve">E2, E3, E5, E6, E7</t>
  </si>
  <si>
    <t xml:space="preserve">Structured data backbone</t>
  </si>
  <si>
    <t xml:space="preserve">slack-mcp</t>
  </si>
  <si>
    <t xml:space="preserve">Notifications</t>
  </si>
  <si>
    <t xml:space="preserve">Send real-time alerts for escalations, sentiment flags</t>
  </si>
  <si>
    <t xml:space="preserve">E2, E5, E7</t>
  </si>
  <si>
    <t xml:space="preserve">Slack webhook or Bot token</t>
  </si>
  <si>
    <t xml:space="preserve">crm-mcp</t>
  </si>
  <si>
    <t xml:space="preserve">CRM</t>
  </si>
  <si>
    <t xml:space="preserve">Fetch customer history for personalized responses</t>
  </si>
  <si>
    <t xml:space="preserve">Salesforce / HubSpot</t>
  </si>
  <si>
    <t xml:space="preserve">salesforce-mcp</t>
  </si>
  <si>
    <t xml:space="preserve">CRM / Audit</t>
  </si>
  <si>
    <t xml:space="preserve">Log interactions and audit trail to Salesforce</t>
  </si>
  <si>
    <t xml:space="preserve">Salesforce connected app</t>
  </si>
  <si>
    <t xml:space="preserve">hubspot-mcp</t>
  </si>
  <si>
    <t xml:space="preserve">Alternative CRM for logging and audit</t>
  </si>
  <si>
    <t xml:space="preserve">HubSpot API key</t>
  </si>
  <si>
    <t xml:space="preserve">filesystem-mcp</t>
  </si>
  <si>
    <t xml:space="preserve">Storage</t>
  </si>
  <si>
    <t xml:space="preserve">Store and retrieve email attachments</t>
  </si>
  <si>
    <t xml:space="preserve">E1, E6</t>
  </si>
  <si>
    <t xml:space="preserve">Local or cloud filesystem</t>
  </si>
  <si>
    <t xml:space="preserve">google-sheets-mcp</t>
  </si>
  <si>
    <t xml:space="preserve">Analytics / Export</t>
  </si>
  <si>
    <t xml:space="preserve">Export KPI data and reports to Google Sheets</t>
  </si>
  <si>
    <t xml:space="preserve">Google Service Account</t>
  </si>
  <si>
    <t xml:space="preserve">Inbox Management — KPI &amp; Metrics Framework</t>
  </si>
  <si>
    <t xml:space="preserve">KPI / Metric</t>
  </si>
  <si>
    <t xml:space="preserve">Definition</t>
  </si>
  <si>
    <t xml:space="preserve">Target / Benchmark</t>
  </si>
  <si>
    <t xml:space="preserve">Frequency</t>
  </si>
  <si>
    <t xml:space="preserve">Owner</t>
  </si>
  <si>
    <t xml:space="preserve">Volume &amp; Productivity</t>
  </si>
  <si>
    <t xml:space="preserve">Emails Received / Day</t>
  </si>
  <si>
    <t xml:space="preserve">Total inbound emails per day</t>
  </si>
  <si>
    <t xml:space="preserve">Track baseline</t>
  </si>
  <si>
    <t xml:space="preserve">Daily</t>
  </si>
  <si>
    <t xml:space="preserve">Ops Manager</t>
  </si>
  <si>
    <t xml:space="preserve">Emails Processed / Agent</t>
  </si>
  <si>
    <t xml:space="preserve">Emails handled per agent per day</t>
  </si>
  <si>
    <t xml:space="preserve">&gt;80/agent/day</t>
  </si>
  <si>
    <t xml:space="preserve">Team Lead</t>
  </si>
  <si>
    <t xml:space="preserve">Average Handling Time (AHT)</t>
  </si>
  <si>
    <t xml:space="preserve">Avg time to fully resolve one email</t>
  </si>
  <si>
    <t xml:space="preserve">&lt; 8 min</t>
  </si>
  <si>
    <t xml:space="preserve">Backlog Volume</t>
  </si>
  <si>
    <t xml:space="preserve">Open unresolved emails at end of day</t>
  </si>
  <si>
    <t xml:space="preserve">&lt; 5% of daily volume</t>
  </si>
  <si>
    <t xml:space="preserve">SLA &amp; Timeliness</t>
  </si>
  <si>
    <t xml:space="preserve">First Response Time (FRT)</t>
  </si>
  <si>
    <t xml:space="preserve">Time from email receipt to first reply</t>
  </si>
  <si>
    <t xml:space="preserve">&lt; 2 hours</t>
  </si>
  <si>
    <t xml:space="preserve">Real-time</t>
  </si>
  <si>
    <t xml:space="preserve">SLA Compliance %</t>
  </si>
  <si>
    <t xml:space="preserve">% emails resolved within SLA window</t>
  </si>
  <si>
    <t xml:space="preserve">&gt; 95%</t>
  </si>
  <si>
    <t xml:space="preserve">Escalation Rate</t>
  </si>
  <si>
    <t xml:space="preserve">% emails escalated beyond L1</t>
  </si>
  <si>
    <t xml:space="preserve">&lt; 10%</t>
  </si>
  <si>
    <t xml:space="preserve">Weekly</t>
  </si>
  <si>
    <t xml:space="preserve">Aging of Open Emails</t>
  </si>
  <si>
    <t xml:space="preserve">Emails open beyond SLA threshold</t>
  </si>
  <si>
    <t xml:space="preserve">0 breaches</t>
  </si>
  <si>
    <t xml:space="preserve">Quality</t>
  </si>
  <si>
    <t xml:space="preserve">First Contact Resolution (FCR)</t>
  </si>
  <si>
    <t xml:space="preserve">% queries resolved without follow-up</t>
  </si>
  <si>
    <t xml:space="preserve">&gt; 85%</t>
  </si>
  <si>
    <t xml:space="preserve">QA Analyst</t>
  </si>
  <si>
    <t xml:space="preserve">Re-open Rate</t>
  </si>
  <si>
    <t xml:space="preserve">% closed emails reopened by customer</t>
  </si>
  <si>
    <t xml:space="preserve">&lt; 5%</t>
  </si>
  <si>
    <t xml:space="preserve">Error Rate</t>
  </si>
  <si>
    <t xml:space="preserve">% wrong routing or wrong responses</t>
  </si>
  <si>
    <t xml:space="preserve">&lt; 2%</t>
  </si>
  <si>
    <t xml:space="preserve">QA Score %</t>
  </si>
  <si>
    <t xml:space="preserve">Quality audit score per agent/week</t>
  </si>
  <si>
    <t xml:space="preserve">&gt; 90%</t>
  </si>
  <si>
    <t xml:space="preserve">Customer Experience</t>
  </si>
  <si>
    <t xml:space="preserve">CSAT Score</t>
  </si>
  <si>
    <t xml:space="preserve">Customer satisfaction post-resolution</t>
  </si>
  <si>
    <t xml:space="preserve">&gt; 4.0 / 5.0</t>
  </si>
  <si>
    <t xml:space="preserve">Monthly</t>
  </si>
  <si>
    <t xml:space="preserve">Complaint Rate</t>
  </si>
  <si>
    <t xml:space="preserve">% interactions resulting in a complaint</t>
  </si>
  <si>
    <t xml:space="preserve">&lt; 1%</t>
  </si>
  <si>
    <t xml:space="preserve">Negative Sentiment Trend</t>
  </si>
  <si>
    <t xml:space="preserve">Trend of negative sentiment over time</t>
  </si>
  <si>
    <t xml:space="preserve">Declining trend</t>
  </si>
  <si>
    <t xml:space="preserve">Compliance &amp; Risk</t>
  </si>
  <si>
    <t xml:space="preserve">HIPAA/GDPR Adherence</t>
  </si>
  <si>
    <t xml:space="preserve">% emails with zero compliance violations</t>
  </si>
  <si>
    <t xml:space="preserve">100%</t>
  </si>
  <si>
    <t xml:space="preserve">Compliance Officer</t>
  </si>
  <si>
    <t xml:space="preserve">Documentation Completeness</t>
  </si>
  <si>
    <t xml:space="preserve">% cases with full audit trail</t>
  </si>
  <si>
    <t xml:space="preserve">Audit Findings Count</t>
  </si>
  <si>
    <t xml:space="preserve">Open audit findings from QA reviews</t>
  </si>
  <si>
    <t xml:space="preserve">0 critical</t>
  </si>
  <si>
    <t xml:space="preserve">Automation &amp; Efficiency</t>
  </si>
  <si>
    <t xml:space="preserve">% Auto-Classified Emails</t>
  </si>
  <si>
    <t xml:space="preserve">Emails classified without human input</t>
  </si>
  <si>
    <t xml:space="preserve">Automation Analyst</t>
  </si>
  <si>
    <t xml:space="preserve">% Auto-Responses Sent</t>
  </si>
  <si>
    <t xml:space="preserve">Emails replied to without human draft</t>
  </si>
  <si>
    <t xml:space="preserve">&gt; 40%</t>
  </si>
  <si>
    <t xml:space="preserve">Manual Effort Reduction</t>
  </si>
  <si>
    <t xml:space="preserve">% reduction in manual handling vs baseline</t>
  </si>
  <si>
    <t xml:space="preserve">&gt; 30%</t>
  </si>
  <si>
    <t xml:space="preserve">Cost Per Email</t>
  </si>
  <si>
    <t xml:space="preserve">Total ops cost divided by emails handled</t>
  </si>
  <si>
    <t xml:space="preserve">Track &amp; reduce</t>
  </si>
  <si>
    <t xml:space="preserve">Inbox Management Team — Roles &amp; Responsibilities</t>
  </si>
  <si>
    <t xml:space="preserve">Role</t>
  </si>
  <si>
    <t xml:space="preserve">Level</t>
  </si>
  <si>
    <t xml:space="preserve">Key Responsibilities</t>
  </si>
  <si>
    <t xml:space="preserve">Epics Involved</t>
  </si>
  <si>
    <t xml:space="preserve">KPIs Owned</t>
  </si>
  <si>
    <t xml:space="preserve">Tools Used</t>
  </si>
  <si>
    <t xml:space="preserve">Inbox Analyst / Executive</t>
  </si>
  <si>
    <t xml:space="preserve">L1</t>
  </si>
  <si>
    <t xml:space="preserve">• Email monitoring &amp; intake
• Basic categorization
• Standard template responses
• Ticket logging</t>
  </si>
  <si>
    <t xml:space="preserve">E1, E2, E3, E4</t>
  </si>
  <si>
    <t xml:space="preserve">AHT, FRT, Emails Processed/Agent</t>
  </si>
  <si>
    <t xml:space="preserve">Gmail, Outlook, Zendesk, Freshdesk</t>
  </si>
  <si>
    <t xml:space="preserve">Senior Analyst</t>
  </si>
  <si>
    <t xml:space="preserve">L2</t>
  </si>
  <si>
    <t xml:space="preserve">• Complex query handling
• Escalation management
• Personalized response drafting
• L1 support &amp; coaching</t>
  </si>
  <si>
    <t xml:space="preserve">E3, E4, E5</t>
  </si>
  <si>
    <t xml:space="preserve">FCR, Re-open Rate, Escalation Rate</t>
  </si>
  <si>
    <t xml:space="preserve">Claude AI Draft Tool, CRM, ServiceNow</t>
  </si>
  <si>
    <t xml:space="preserve">Manager</t>
  </si>
  <si>
    <t xml:space="preserve">• SLA management &amp; monitoring
• Workload balancing across team
• Escalation decision-making
• Daily KPI reviews</t>
  </si>
  <si>
    <t xml:space="preserve">E5, E6, E7</t>
  </si>
  <si>
    <t xml:space="preserve">SLA Compliance %, Backlog, CSAT</t>
  </si>
  <si>
    <t xml:space="preserve">SLA Dashboard, Slack Alerts, KPI Dashboard</t>
  </si>
  <si>
    <t xml:space="preserve">QA / Compliance Analyst</t>
  </si>
  <si>
    <t xml:space="preserve">Specialist</t>
  </si>
  <si>
    <t xml:space="preserve">• Response quality audits
• Compliance checks (HIPAA/GDPR)
• Audit trail review
• QA scoring</t>
  </si>
  <si>
    <t xml:space="preserve">E4, E6</t>
  </si>
  <si>
    <t xml:space="preserve">QA Score %, Error Rate, Compliance %</t>
  </si>
  <si>
    <t xml:space="preserve">Audit Log Tool, Postgres, Compliance Dashboard</t>
  </si>
  <si>
    <t xml:space="preserve">Automation / Ops Analyst</t>
  </si>
  <si>
    <t xml:space="preserve">• AI classification tuning
• Process optimization
• Automation opportunity identification
• Cost per email tracking</t>
  </si>
  <si>
    <t xml:space="preserve">E2, E7</t>
  </si>
  <si>
    <t xml:space="preserve">% Auto-Classified, Manual Effort Reduction, Cost/Email</t>
  </si>
  <si>
    <t xml:space="preserve">Claude MCP, Postgres, Analytics Dashboard</t>
  </si>
  <si>
    <t xml:space="preserve">Leadership</t>
  </si>
  <si>
    <t xml:space="preserve">• Team performance oversight
• Client SLA governance
• Continuous improvement steering
• Reporting to stakeholders</t>
  </si>
  <si>
    <t xml:space="preserve">CSAT, SLA Compliance %, Cost Per Email</t>
  </si>
  <si>
    <t xml:space="preserve">Executive Dashboard, Google Sheets Export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</si>
</sst>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D6A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843C0C"/>
      <name val="Arial"/>
      <family val="0"/>
      <charset val="1"/>
    </font>
    <font>
      <b val="true"/>
      <sz val="11"/>
      <color rgb="FF4B0082"/>
      <name val="Arial"/>
      <family val="0"/>
      <charset val="1"/>
    </font>
    <font>
      <b val="true"/>
      <sz val="11"/>
      <color rgb="FF0D5257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7"/>
        <bgColor rgb="FFD6E4F0"/>
      </patternFill>
    </fill>
    <fill>
      <patternFill patternType="solid">
        <fgColor rgb="FF2E75B6"/>
        <bgColor rgb="FF4472C4"/>
      </patternFill>
    </fill>
    <fill>
      <patternFill patternType="solid">
        <fgColor rgb="FFD9EAD3"/>
        <bgColor rgb="FFE2EFDA"/>
      </patternFill>
    </fill>
    <fill>
      <patternFill patternType="solid">
        <fgColor rgb="FF375623"/>
        <bgColor rgb="FF276221"/>
      </patternFill>
    </fill>
    <fill>
      <patternFill patternType="solid">
        <fgColor rgb="FFE2EFDA"/>
        <bgColor rgb="FFD9EAD3"/>
      </patternFill>
    </fill>
    <fill>
      <patternFill patternType="solid">
        <fgColor rgb="FF843C0C"/>
        <bgColor rgb="FF7D3C00"/>
      </patternFill>
    </fill>
    <fill>
      <patternFill patternType="solid">
        <fgColor rgb="FFFCE4D6"/>
        <bgColor rgb="FFFFF2CC"/>
      </patternFill>
    </fill>
    <fill>
      <patternFill patternType="solid">
        <fgColor rgb="FF4B0082"/>
        <bgColor rgb="FF800080"/>
      </patternFill>
    </fill>
    <fill>
      <patternFill patternType="solid">
        <fgColor rgb="FFEAD1DC"/>
        <bgColor rgb="FFFFC7CE"/>
      </patternFill>
    </fill>
    <fill>
      <patternFill patternType="solid">
        <fgColor rgb="FF1D6A72"/>
        <bgColor rgb="FF0D5257"/>
      </patternFill>
    </fill>
    <fill>
      <patternFill patternType="solid">
        <fgColor rgb="FF0D5257"/>
        <bgColor rgb="FF1D6A72"/>
      </patternFill>
    </fill>
    <fill>
      <patternFill patternType="solid">
        <fgColor rgb="FFE8F4F8"/>
        <bgColor rgb="FFEBF3FB"/>
      </patternFill>
    </fill>
    <fill>
      <patternFill patternType="solid">
        <fgColor rgb="FF4472C4"/>
        <bgColor rgb="FF2E75B6"/>
      </patternFill>
    </fill>
    <fill>
      <patternFill patternType="solid">
        <fgColor rgb="FFEBF3FB"/>
        <bgColor rgb="FFE8F4F8"/>
      </patternFill>
    </fill>
    <fill>
      <patternFill patternType="solid">
        <fgColor rgb="FFFFFFFF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6E4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D6E3"/>
      </left>
      <right style="thin">
        <color rgb="FFC9D6E3"/>
      </right>
      <top style="thin">
        <color rgb="FFC9D6E3"/>
      </top>
      <bottom style="thin">
        <color rgb="FFC9D6E3"/>
      </bottom>
      <diagonal/>
    </border>
    <border diagonalUp="false" diagonalDown="false">
      <left style="thin">
        <color rgb="FFC9D6E3"/>
      </left>
      <right/>
      <top style="thin">
        <color rgb="FFC9D6E3"/>
      </top>
      <bottom style="thin">
        <color rgb="FFC9D6E3"/>
      </bottom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1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7D5A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b val="1"/>
        <color rgb="FF7D3C00"/>
      </font>
      <fill>
        <patternFill>
          <bgColor rgb="FFFFDCA8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F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color rgb="FF595959"/>
      </font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9EAD3"/>
      <rgbColor rgb="FFFF00FF"/>
      <rgbColor rgb="FF00FFFF"/>
      <rgbColor rgb="FF9C0006"/>
      <rgbColor rgb="FF276221"/>
      <rgbColor rgb="FF000080"/>
      <rgbColor rgb="FF7D5A00"/>
      <rgbColor rgb="FF800080"/>
      <rgbColor rgb="FF1D6A72"/>
      <rgbColor rgb="FFB0C4DE"/>
      <rgbColor rgb="FF808080"/>
      <rgbColor rgb="FFD6E4F7"/>
      <rgbColor rgb="FF7D3C00"/>
      <rgbColor rgb="FFFFF2CC"/>
      <rgbColor rgb="FFE8F4F8"/>
      <rgbColor rgb="FF4B0082"/>
      <rgbColor rgb="FFEDEDED"/>
      <rgbColor rgb="FF2E75B6"/>
      <rgbColor rgb="FFC9D6E3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EB9C"/>
      <rgbColor rgb="FFBDD7EE"/>
      <rgbColor rgb="FFFFC7CE"/>
      <rgbColor rgb="FFEAD1DC"/>
      <rgbColor rgb="FFFFDCA8"/>
      <rgbColor rgb="FF4472C4"/>
      <rgbColor rgb="FF33CCCC"/>
      <rgbColor rgb="FF99CC00"/>
      <rgbColor rgb="FFFCE4D6"/>
      <rgbColor rgb="FFFF9900"/>
      <rgbColor rgb="FFFF6600"/>
      <rgbColor rgb="FF595959"/>
      <rgbColor rgb="FFD6E4F0"/>
      <rgbColor rgb="FF1F3864"/>
      <rgbColor rgb="FF339966"/>
      <rgbColor rgb="FF0D5257"/>
      <rgbColor rgb="FF375623"/>
      <rgbColor rgb="FF843C0C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4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90" hidden="false" customHeight="true" outlineLevel="0" collapsed="false">
      <c r="A3" s="3" t="s">
        <v>12</v>
      </c>
      <c r="B3" s="4" t="s">
        <v>13</v>
      </c>
      <c r="C3" s="5" t="s">
        <v>14</v>
      </c>
      <c r="D3" s="6" t="s">
        <v>15</v>
      </c>
      <c r="E3" s="6" t="s">
        <v>16</v>
      </c>
      <c r="F3" s="6" t="s">
        <v>17</v>
      </c>
      <c r="G3" s="7" t="s">
        <v>18</v>
      </c>
      <c r="H3" s="8" t="s">
        <v>19</v>
      </c>
      <c r="I3" s="8" t="n">
        <v>5</v>
      </c>
      <c r="J3" s="8" t="s">
        <v>20</v>
      </c>
      <c r="K3" s="9" t="n">
        <f aca="false">((('Sub-task Tracker'!H4="Done")*1)+(('Sub-task Tracker'!H5="Done")*1)+(('Sub-task Tracker'!H6="Done")*1)+(('Sub-task Tracker'!H7="Done")*1))/4</f>
        <v>0</v>
      </c>
    </row>
    <row r="4" customFormat="false" ht="90" hidden="false" customHeight="true" outlineLevel="0" collapsed="false">
      <c r="A4" s="3" t="s">
        <v>12</v>
      </c>
      <c r="B4" s="4" t="s">
        <v>13</v>
      </c>
      <c r="C4" s="5" t="s">
        <v>21</v>
      </c>
      <c r="D4" s="6" t="s">
        <v>22</v>
      </c>
      <c r="E4" s="6" t="s">
        <v>23</v>
      </c>
      <c r="F4" s="6" t="s">
        <v>24</v>
      </c>
      <c r="G4" s="7" t="s">
        <v>18</v>
      </c>
      <c r="H4" s="8" t="s">
        <v>19</v>
      </c>
      <c r="I4" s="8" t="n">
        <v>3</v>
      </c>
      <c r="J4" s="8" t="s">
        <v>20</v>
      </c>
      <c r="K4" s="9" t="n">
        <f aca="false">((('Sub-task Tracker'!H8="Done")*1)+(('Sub-task Tracker'!H9="Done")*1)+(('Sub-task Tracker'!H10="Done")*1))/3</f>
        <v>0</v>
      </c>
    </row>
    <row r="5" customFormat="false" ht="90" hidden="false" customHeight="true" outlineLevel="0" collapsed="false">
      <c r="A5" s="10" t="s">
        <v>25</v>
      </c>
      <c r="B5" s="11" t="s">
        <v>26</v>
      </c>
      <c r="C5" s="12" t="s">
        <v>27</v>
      </c>
      <c r="D5" s="13" t="s">
        <v>28</v>
      </c>
      <c r="E5" s="13" t="s">
        <v>29</v>
      </c>
      <c r="F5" s="13" t="s">
        <v>30</v>
      </c>
      <c r="G5" s="14" t="s">
        <v>18</v>
      </c>
      <c r="H5" s="15" t="s">
        <v>31</v>
      </c>
      <c r="I5" s="15" t="n">
        <v>8</v>
      </c>
      <c r="J5" s="15" t="s">
        <v>20</v>
      </c>
      <c r="K5" s="9" t="n">
        <f aca="false">((('Sub-task Tracker'!H11="Done")*1)+(('Sub-task Tracker'!H12="Done")*1)+(('Sub-task Tracker'!H13="Done")*1)+(('Sub-task Tracker'!H14="Done")*1)+(('Sub-task Tracker'!H15="Done")*1))/5</f>
        <v>0</v>
      </c>
    </row>
    <row r="6" customFormat="false" ht="90" hidden="false" customHeight="true" outlineLevel="0" collapsed="false">
      <c r="A6" s="10" t="s">
        <v>25</v>
      </c>
      <c r="B6" s="11" t="s">
        <v>26</v>
      </c>
      <c r="C6" s="12" t="s">
        <v>32</v>
      </c>
      <c r="D6" s="13" t="s">
        <v>33</v>
      </c>
      <c r="E6" s="13" t="s">
        <v>34</v>
      </c>
      <c r="F6" s="13" t="s">
        <v>35</v>
      </c>
      <c r="G6" s="14" t="s">
        <v>18</v>
      </c>
      <c r="H6" s="15" t="s">
        <v>31</v>
      </c>
      <c r="I6" s="15" t="n">
        <v>5</v>
      </c>
      <c r="J6" s="15" t="s">
        <v>20</v>
      </c>
      <c r="K6" s="9" t="n">
        <f aca="false">((('Sub-task Tracker'!H16="Done")*1)+(('Sub-task Tracker'!H17="Done")*1)+(('Sub-task Tracker'!H18="Done")*1)+(('Sub-task Tracker'!H19="Done")*1))/4</f>
        <v>0</v>
      </c>
    </row>
    <row r="7" customFormat="false" ht="90" hidden="false" customHeight="true" outlineLevel="0" collapsed="false">
      <c r="A7" s="16" t="s">
        <v>36</v>
      </c>
      <c r="B7" s="17" t="s">
        <v>37</v>
      </c>
      <c r="C7" s="18" t="s">
        <v>38</v>
      </c>
      <c r="D7" s="19" t="s">
        <v>39</v>
      </c>
      <c r="E7" s="19" t="s">
        <v>40</v>
      </c>
      <c r="F7" s="19" t="s">
        <v>41</v>
      </c>
      <c r="G7" s="20" t="s">
        <v>18</v>
      </c>
      <c r="H7" s="21" t="s">
        <v>42</v>
      </c>
      <c r="I7" s="21" t="n">
        <v>8</v>
      </c>
      <c r="J7" s="21" t="s">
        <v>20</v>
      </c>
      <c r="K7" s="9" t="n">
        <f aca="false">((('Sub-task Tracker'!H20="Done")*1)+(('Sub-task Tracker'!H21="Done")*1)+(('Sub-task Tracker'!H22="Done")*1)+(('Sub-task Tracker'!H23="Done")*1)+(('Sub-task Tracker'!H24="Done")*1))/5</f>
        <v>0</v>
      </c>
    </row>
    <row r="8" customFormat="false" ht="90" hidden="false" customHeight="true" outlineLevel="0" collapsed="false">
      <c r="A8" s="22" t="s">
        <v>43</v>
      </c>
      <c r="B8" s="23" t="s">
        <v>44</v>
      </c>
      <c r="C8" s="24" t="s">
        <v>45</v>
      </c>
      <c r="D8" s="25" t="s">
        <v>46</v>
      </c>
      <c r="E8" s="25" t="s">
        <v>47</v>
      </c>
      <c r="F8" s="25" t="s">
        <v>48</v>
      </c>
      <c r="G8" s="26" t="s">
        <v>18</v>
      </c>
      <c r="H8" s="27" t="s">
        <v>49</v>
      </c>
      <c r="I8" s="27" t="n">
        <v>8</v>
      </c>
      <c r="J8" s="27" t="s">
        <v>20</v>
      </c>
      <c r="K8" s="9" t="n">
        <f aca="false">((('Sub-task Tracker'!H25="Done")*1)+(('Sub-task Tracker'!H26="Done")*1)+(('Sub-task Tracker'!H27="Done")*1)+(('Sub-task Tracker'!H28="Done")*1)+(('Sub-task Tracker'!H29="Done")*1))/5</f>
        <v>0</v>
      </c>
    </row>
    <row r="9" customFormat="false" ht="90" hidden="false" customHeight="true" outlineLevel="0" collapsed="false">
      <c r="A9" s="22" t="s">
        <v>43</v>
      </c>
      <c r="B9" s="23" t="s">
        <v>44</v>
      </c>
      <c r="C9" s="24" t="s">
        <v>50</v>
      </c>
      <c r="D9" s="25" t="s">
        <v>51</v>
      </c>
      <c r="E9" s="25" t="s">
        <v>52</v>
      </c>
      <c r="F9" s="25" t="s">
        <v>53</v>
      </c>
      <c r="G9" s="26" t="s">
        <v>54</v>
      </c>
      <c r="H9" s="27" t="s">
        <v>49</v>
      </c>
      <c r="I9" s="27" t="n">
        <v>5</v>
      </c>
      <c r="J9" s="27" t="s">
        <v>20</v>
      </c>
      <c r="K9" s="9" t="n">
        <f aca="false">((('Sub-task Tracker'!H30="Done")*1)+(('Sub-task Tracker'!H31="Done")*1)+(('Sub-task Tracker'!H32="Done")*1))/3</f>
        <v>0</v>
      </c>
    </row>
    <row r="10" customFormat="false" ht="90" hidden="false" customHeight="true" outlineLevel="0" collapsed="false">
      <c r="A10" s="28" t="s">
        <v>55</v>
      </c>
      <c r="B10" s="29" t="s">
        <v>56</v>
      </c>
      <c r="C10" s="30" t="s">
        <v>57</v>
      </c>
      <c r="D10" s="31" t="s">
        <v>58</v>
      </c>
      <c r="E10" s="31" t="s">
        <v>59</v>
      </c>
      <c r="F10" s="31" t="s">
        <v>60</v>
      </c>
      <c r="G10" s="32" t="s">
        <v>18</v>
      </c>
      <c r="H10" s="33" t="s">
        <v>61</v>
      </c>
      <c r="I10" s="33" t="n">
        <v>5</v>
      </c>
      <c r="J10" s="33" t="s">
        <v>20</v>
      </c>
      <c r="K10" s="9" t="n">
        <f aca="false">((('Sub-task Tracker'!H33="Done")*1)+(('Sub-task Tracker'!H34="Done")*1)+(('Sub-task Tracker'!H35="Done")*1)+(('Sub-task Tracker'!H36="Done")*1)+(('Sub-task Tracker'!H37="Done")*1))/5</f>
        <v>0</v>
      </c>
    </row>
    <row r="11" customFormat="false" ht="90" hidden="false" customHeight="true" outlineLevel="0" collapsed="false">
      <c r="A11" s="34" t="s">
        <v>62</v>
      </c>
      <c r="B11" s="35" t="s">
        <v>63</v>
      </c>
      <c r="C11" s="12" t="s">
        <v>64</v>
      </c>
      <c r="D11" s="13" t="s">
        <v>65</v>
      </c>
      <c r="E11" s="13" t="s">
        <v>66</v>
      </c>
      <c r="F11" s="13" t="s">
        <v>67</v>
      </c>
      <c r="G11" s="14" t="s">
        <v>18</v>
      </c>
      <c r="H11" s="15" t="s">
        <v>61</v>
      </c>
      <c r="I11" s="15" t="n">
        <v>5</v>
      </c>
      <c r="J11" s="15" t="s">
        <v>20</v>
      </c>
      <c r="K11" s="9" t="n">
        <f aca="false">((('Sub-task Tracker'!H38="Done")*1)+(('Sub-task Tracker'!H39="Done")*1)+(('Sub-task Tracker'!H40="Done")*1)+(('Sub-task Tracker'!H41="Done")*1)+(('Sub-task Tracker'!H42="Done")*1))/5</f>
        <v>0</v>
      </c>
    </row>
    <row r="12" customFormat="false" ht="90" hidden="false" customHeight="true" outlineLevel="0" collapsed="false">
      <c r="A12" s="36" t="s">
        <v>68</v>
      </c>
      <c r="B12" s="37" t="s">
        <v>69</v>
      </c>
      <c r="C12" s="38" t="s">
        <v>70</v>
      </c>
      <c r="D12" s="39" t="s">
        <v>71</v>
      </c>
      <c r="E12" s="39" t="s">
        <v>72</v>
      </c>
      <c r="F12" s="39" t="s">
        <v>73</v>
      </c>
      <c r="G12" s="40" t="s">
        <v>74</v>
      </c>
      <c r="H12" s="41" t="s">
        <v>75</v>
      </c>
      <c r="I12" s="41" t="n">
        <v>8</v>
      </c>
      <c r="J12" s="41" t="s">
        <v>20</v>
      </c>
      <c r="K12" s="9" t="n">
        <f aca="false">((('Sub-task Tracker'!H43="Done")*1)+(('Sub-task Tracker'!H44="Done")*1)+(('Sub-task Tracker'!H45="Done")*1)+(('Sub-task Tracker'!H46="Done")*1)+(('Sub-task Tracker'!H47="Done")*1))/5</f>
        <v>0</v>
      </c>
    </row>
    <row r="13" customFormat="false" ht="90" hidden="false" customHeight="true" outlineLevel="0" collapsed="false">
      <c r="A13" s="36" t="s">
        <v>68</v>
      </c>
      <c r="B13" s="37" t="s">
        <v>69</v>
      </c>
      <c r="C13" s="38" t="s">
        <v>76</v>
      </c>
      <c r="D13" s="39" t="s">
        <v>77</v>
      </c>
      <c r="E13" s="39" t="s">
        <v>78</v>
      </c>
      <c r="F13" s="39" t="s">
        <v>79</v>
      </c>
      <c r="G13" s="40" t="s">
        <v>74</v>
      </c>
      <c r="H13" s="41" t="s">
        <v>75</v>
      </c>
      <c r="I13" s="41" t="n">
        <v>5</v>
      </c>
      <c r="J13" s="41" t="s">
        <v>20</v>
      </c>
      <c r="K13" s="9" t="n">
        <f aca="false">((('Sub-task Tracker'!H48="Done")*1)+(('Sub-task Tracker'!H49="Done")*1)+(('Sub-task Tracker'!H50="Done")*1))/3</f>
        <v>0</v>
      </c>
    </row>
  </sheetData>
  <mergeCells count="1">
    <mergeCell ref="A1:K1"/>
  </mergeCells>
  <conditionalFormatting sqref="J3:J14">
    <cfRule type="expression" priority="2" aboveAverage="0" equalAverage="0" bottom="0" percent="0" rank="0" text="" dxfId="0">
      <formula>J3="Done"</formula>
    </cfRule>
    <cfRule type="expression" priority="3" aboveAverage="0" equalAverage="0" bottom="0" percent="0" rank="0" text="" dxfId="1">
      <formula>J3="In Progress"</formula>
    </cfRule>
    <cfRule type="expression" priority="4" aboveAverage="0" equalAverage="0" bottom="0" percent="0" rank="0" text="" dxfId="2">
      <formula>J3="In Review"</formula>
    </cfRule>
    <cfRule type="expression" priority="5" aboveAverage="0" equalAverage="0" bottom="0" percent="0" rank="0" text="" dxfId="3">
      <formula>J3="On Hold"</formula>
    </cfRule>
  </conditionalFormatting>
  <conditionalFormatting sqref="G3:G14">
    <cfRule type="expression" priority="6" aboveAverage="0" equalAverage="0" bottom="0" percent="0" rank="0" text="" dxfId="4">
      <formula>G3="Critical"</formula>
    </cfRule>
    <cfRule type="expression" priority="7" aboveAverage="0" equalAverage="0" bottom="0" percent="0" rank="0" text="" dxfId="5">
      <formula>G3="High"</formula>
    </cfRule>
    <cfRule type="expression" priority="8" aboveAverage="0" equalAverage="0" bottom="0" percent="0" rank="0" text="" dxfId="1">
      <formula>G3="Medium"</formula>
    </cfRule>
    <cfRule type="expression" priority="9" aboveAverage="0" equalAverage="0" bottom="0" percent="0" rank="0" text="" dxfId="0">
      <formula>G3="Low"</formula>
    </cfRule>
  </conditionalFormatting>
  <dataValidations count="1">
    <dataValidation allowBlank="true" errorStyle="stop" operator="between" showDropDown="false" showErrorMessage="false" showInputMessage="false" sqref="J3:J14" type="list">
      <formula1>"Not Started,In Progress,In Review,Done,On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5" min="4" style="0" width="13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4" min="13" style="0" width="13"/>
    <col collapsed="false" customWidth="true" hidden="false" outlineLevel="0" max="15" min="15" style="0" width="15"/>
    <col collapsed="false" customWidth="true" hidden="false" outlineLevel="0" max="16" min="16" style="0" width="11"/>
    <col collapsed="false" customWidth="true" hidden="false" outlineLevel="0" max="17" min="17" style="0" width="38"/>
    <col collapsed="false" customWidth="true" hidden="false" outlineLevel="0" max="18" min="18" style="0" width="32"/>
  </cols>
  <sheetData>
    <row r="1" customFormat="false" ht="39.75" hidden="false" customHeight="true" outlineLevel="0" collapsed="false">
      <c r="A1" s="42" t="s">
        <v>80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customFormat="false" ht="18" hidden="false" customHeight="true" outlineLevel="0" collapsed="false">
      <c r="A2" s="43" t="s">
        <v>81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</row>
    <row r="3" customFormat="false" ht="31.5" hidden="false" customHeight="true" outlineLevel="0" collapsed="false">
      <c r="A3" s="44" t="s">
        <v>82</v>
      </c>
      <c r="B3" s="44" t="s">
        <v>1</v>
      </c>
      <c r="C3" s="44" t="s">
        <v>2</v>
      </c>
      <c r="D3" s="44" t="s">
        <v>3</v>
      </c>
      <c r="E3" s="44" t="s">
        <v>83</v>
      </c>
      <c r="F3" s="44" t="s">
        <v>84</v>
      </c>
      <c r="G3" s="44" t="s">
        <v>7</v>
      </c>
      <c r="H3" s="44" t="s">
        <v>10</v>
      </c>
      <c r="I3" s="44" t="s">
        <v>85</v>
      </c>
      <c r="J3" s="44" t="s">
        <v>86</v>
      </c>
      <c r="K3" s="44" t="s">
        <v>87</v>
      </c>
      <c r="L3" s="44" t="s">
        <v>8</v>
      </c>
      <c r="M3" s="44" t="s">
        <v>88</v>
      </c>
      <c r="N3" s="44" t="s">
        <v>89</v>
      </c>
      <c r="O3" s="44" t="s">
        <v>90</v>
      </c>
      <c r="P3" s="44" t="s">
        <v>91</v>
      </c>
      <c r="Q3" s="44" t="s">
        <v>92</v>
      </c>
      <c r="R3" s="44" t="s">
        <v>93</v>
      </c>
    </row>
    <row r="4" customFormat="false" ht="42" hidden="false" customHeight="true" outlineLevel="0" collapsed="false">
      <c r="A4" s="5" t="n">
        <v>1</v>
      </c>
      <c r="B4" s="3" t="s">
        <v>12</v>
      </c>
      <c r="C4" s="45" t="s">
        <v>13</v>
      </c>
      <c r="D4" s="5" t="s">
        <v>14</v>
      </c>
      <c r="E4" s="5" t="s">
        <v>94</v>
      </c>
      <c r="F4" s="6" t="s">
        <v>95</v>
      </c>
      <c r="G4" s="7" t="s">
        <v>18</v>
      </c>
      <c r="H4" s="8" t="s">
        <v>20</v>
      </c>
      <c r="I4" s="46" t="s">
        <v>96</v>
      </c>
      <c r="J4" s="8" t="s">
        <v>97</v>
      </c>
      <c r="K4" s="46"/>
      <c r="L4" s="8" t="s">
        <v>19</v>
      </c>
      <c r="M4" s="8"/>
      <c r="N4" s="8"/>
      <c r="O4" s="8"/>
      <c r="P4" s="5" t="str">
        <f aca="true">IF(O4&lt;&gt;"","✅ Done",IF(N4="","-",MAX(0,N4-TODAY())))</f>
        <v>-</v>
      </c>
      <c r="Q4" s="47"/>
      <c r="R4" s="47"/>
    </row>
    <row r="5" customFormat="false" ht="42" hidden="false" customHeight="true" outlineLevel="0" collapsed="false">
      <c r="A5" s="5" t="n">
        <v>2</v>
      </c>
      <c r="B5" s="3" t="s">
        <v>12</v>
      </c>
      <c r="C5" s="45" t="s">
        <v>13</v>
      </c>
      <c r="D5" s="5" t="s">
        <v>14</v>
      </c>
      <c r="E5" s="5" t="s">
        <v>98</v>
      </c>
      <c r="F5" s="6" t="s">
        <v>99</v>
      </c>
      <c r="G5" s="7" t="s">
        <v>18</v>
      </c>
      <c r="H5" s="8" t="s">
        <v>20</v>
      </c>
      <c r="I5" s="46" t="s">
        <v>96</v>
      </c>
      <c r="J5" s="8" t="s">
        <v>97</v>
      </c>
      <c r="K5" s="46"/>
      <c r="L5" s="8" t="s">
        <v>19</v>
      </c>
      <c r="M5" s="8"/>
      <c r="N5" s="8"/>
      <c r="O5" s="8"/>
      <c r="P5" s="5" t="str">
        <f aca="true">IF(O5&lt;&gt;"","✅ Done",IF(N5="","-",MAX(0,N5-TODAY())))</f>
        <v>-</v>
      </c>
      <c r="Q5" s="47"/>
      <c r="R5" s="47"/>
    </row>
    <row r="6" customFormat="false" ht="42" hidden="false" customHeight="true" outlineLevel="0" collapsed="false">
      <c r="A6" s="5" t="n">
        <v>3</v>
      </c>
      <c r="B6" s="3" t="s">
        <v>12</v>
      </c>
      <c r="C6" s="45" t="s">
        <v>13</v>
      </c>
      <c r="D6" s="5" t="s">
        <v>14</v>
      </c>
      <c r="E6" s="5" t="s">
        <v>100</v>
      </c>
      <c r="F6" s="6" t="s">
        <v>101</v>
      </c>
      <c r="G6" s="7" t="s">
        <v>74</v>
      </c>
      <c r="H6" s="8" t="s">
        <v>20</v>
      </c>
      <c r="I6" s="46" t="s">
        <v>96</v>
      </c>
      <c r="J6" s="8" t="s">
        <v>97</v>
      </c>
      <c r="K6" s="46"/>
      <c r="L6" s="8" t="s">
        <v>19</v>
      </c>
      <c r="M6" s="8"/>
      <c r="N6" s="8"/>
      <c r="O6" s="8"/>
      <c r="P6" s="5" t="str">
        <f aca="true">IF(O6&lt;&gt;"","✅ Done",IF(N6="","-",MAX(0,N6-TODAY())))</f>
        <v>-</v>
      </c>
      <c r="Q6" s="47"/>
      <c r="R6" s="47"/>
    </row>
    <row r="7" customFormat="false" ht="42" hidden="false" customHeight="true" outlineLevel="0" collapsed="false">
      <c r="A7" s="5" t="n">
        <v>4</v>
      </c>
      <c r="B7" s="3" t="s">
        <v>12</v>
      </c>
      <c r="C7" s="45" t="s">
        <v>13</v>
      </c>
      <c r="D7" s="5" t="s">
        <v>14</v>
      </c>
      <c r="E7" s="5" t="s">
        <v>102</v>
      </c>
      <c r="F7" s="6" t="s">
        <v>103</v>
      </c>
      <c r="G7" s="7" t="s">
        <v>18</v>
      </c>
      <c r="H7" s="8" t="s">
        <v>20</v>
      </c>
      <c r="I7" s="46" t="s">
        <v>96</v>
      </c>
      <c r="J7" s="8" t="s">
        <v>97</v>
      </c>
      <c r="K7" s="46"/>
      <c r="L7" s="8" t="s">
        <v>19</v>
      </c>
      <c r="M7" s="8"/>
      <c r="N7" s="8"/>
      <c r="O7" s="8"/>
      <c r="P7" s="5" t="str">
        <f aca="true">IF(O7&lt;&gt;"","✅ Done",IF(N7="","-",MAX(0,N7-TODAY())))</f>
        <v>-</v>
      </c>
      <c r="Q7" s="47"/>
      <c r="R7" s="47"/>
    </row>
    <row r="8" customFormat="false" ht="42" hidden="false" customHeight="true" outlineLevel="0" collapsed="false">
      <c r="A8" s="5" t="n">
        <v>5</v>
      </c>
      <c r="B8" s="3" t="s">
        <v>12</v>
      </c>
      <c r="C8" s="45" t="s">
        <v>13</v>
      </c>
      <c r="D8" s="5" t="s">
        <v>21</v>
      </c>
      <c r="E8" s="5" t="s">
        <v>104</v>
      </c>
      <c r="F8" s="6" t="s">
        <v>105</v>
      </c>
      <c r="G8" s="7" t="s">
        <v>18</v>
      </c>
      <c r="H8" s="8" t="s">
        <v>20</v>
      </c>
      <c r="I8" s="46" t="s">
        <v>96</v>
      </c>
      <c r="J8" s="8" t="s">
        <v>97</v>
      </c>
      <c r="K8" s="46"/>
      <c r="L8" s="8" t="s">
        <v>19</v>
      </c>
      <c r="M8" s="8"/>
      <c r="N8" s="8"/>
      <c r="O8" s="8"/>
      <c r="P8" s="5" t="str">
        <f aca="true">IF(O8&lt;&gt;"","✅ Done",IF(N8="","-",MAX(0,N8-TODAY())))</f>
        <v>-</v>
      </c>
      <c r="Q8" s="47"/>
      <c r="R8" s="47"/>
    </row>
    <row r="9" customFormat="false" ht="42" hidden="false" customHeight="true" outlineLevel="0" collapsed="false">
      <c r="A9" s="5" t="n">
        <v>6</v>
      </c>
      <c r="B9" s="3" t="s">
        <v>12</v>
      </c>
      <c r="C9" s="45" t="s">
        <v>13</v>
      </c>
      <c r="D9" s="5" t="s">
        <v>21</v>
      </c>
      <c r="E9" s="5" t="s">
        <v>106</v>
      </c>
      <c r="F9" s="6" t="s">
        <v>107</v>
      </c>
      <c r="G9" s="7" t="s">
        <v>74</v>
      </c>
      <c r="H9" s="8" t="s">
        <v>20</v>
      </c>
      <c r="I9" s="46" t="s">
        <v>96</v>
      </c>
      <c r="J9" s="8" t="s">
        <v>97</v>
      </c>
      <c r="K9" s="46"/>
      <c r="L9" s="8" t="s">
        <v>19</v>
      </c>
      <c r="M9" s="8"/>
      <c r="N9" s="8"/>
      <c r="O9" s="8"/>
      <c r="P9" s="5" t="str">
        <f aca="true">IF(O9&lt;&gt;"","✅ Done",IF(N9="","-",MAX(0,N9-TODAY())))</f>
        <v>-</v>
      </c>
      <c r="Q9" s="47"/>
      <c r="R9" s="47"/>
    </row>
    <row r="10" customFormat="false" ht="42" hidden="false" customHeight="true" outlineLevel="0" collapsed="false">
      <c r="A10" s="5" t="n">
        <v>7</v>
      </c>
      <c r="B10" s="3" t="s">
        <v>12</v>
      </c>
      <c r="C10" s="45" t="s">
        <v>13</v>
      </c>
      <c r="D10" s="5" t="s">
        <v>21</v>
      </c>
      <c r="E10" s="5" t="s">
        <v>108</v>
      </c>
      <c r="F10" s="6" t="s">
        <v>109</v>
      </c>
      <c r="G10" s="7" t="s">
        <v>74</v>
      </c>
      <c r="H10" s="8" t="s">
        <v>20</v>
      </c>
      <c r="I10" s="46" t="s">
        <v>96</v>
      </c>
      <c r="J10" s="8" t="s">
        <v>97</v>
      </c>
      <c r="K10" s="46"/>
      <c r="L10" s="8" t="s">
        <v>19</v>
      </c>
      <c r="M10" s="8"/>
      <c r="N10" s="8"/>
      <c r="O10" s="8"/>
      <c r="P10" s="5" t="str">
        <f aca="true">IF(O10&lt;&gt;"","✅ Done",IF(N10="","-",MAX(0,N10-TODAY())))</f>
        <v>-</v>
      </c>
      <c r="Q10" s="47"/>
      <c r="R10" s="47"/>
    </row>
    <row r="11" customFormat="false" ht="42" hidden="false" customHeight="true" outlineLevel="0" collapsed="false">
      <c r="A11" s="12" t="n">
        <v>8</v>
      </c>
      <c r="B11" s="10" t="s">
        <v>25</v>
      </c>
      <c r="C11" s="48" t="s">
        <v>26</v>
      </c>
      <c r="D11" s="12" t="s">
        <v>27</v>
      </c>
      <c r="E11" s="12" t="s">
        <v>110</v>
      </c>
      <c r="F11" s="13" t="s">
        <v>111</v>
      </c>
      <c r="G11" s="14" t="s">
        <v>18</v>
      </c>
      <c r="H11" s="15" t="s">
        <v>20</v>
      </c>
      <c r="I11" s="49" t="s">
        <v>96</v>
      </c>
      <c r="J11" s="15" t="s">
        <v>97</v>
      </c>
      <c r="K11" s="49"/>
      <c r="L11" s="15" t="s">
        <v>31</v>
      </c>
      <c r="M11" s="15"/>
      <c r="N11" s="15"/>
      <c r="O11" s="15"/>
      <c r="P11" s="5" t="str">
        <f aca="true">IF(O11&lt;&gt;"","✅ Done",IF(N11="","-",MAX(0,N11-TODAY())))</f>
        <v>-</v>
      </c>
      <c r="Q11" s="47"/>
      <c r="R11" s="47"/>
    </row>
    <row r="12" customFormat="false" ht="42" hidden="false" customHeight="true" outlineLevel="0" collapsed="false">
      <c r="A12" s="12" t="n">
        <v>9</v>
      </c>
      <c r="B12" s="10" t="s">
        <v>25</v>
      </c>
      <c r="C12" s="48" t="s">
        <v>26</v>
      </c>
      <c r="D12" s="12" t="s">
        <v>27</v>
      </c>
      <c r="E12" s="12" t="s">
        <v>112</v>
      </c>
      <c r="F12" s="13" t="s">
        <v>113</v>
      </c>
      <c r="G12" s="14" t="s">
        <v>18</v>
      </c>
      <c r="H12" s="15" t="s">
        <v>20</v>
      </c>
      <c r="I12" s="49" t="s">
        <v>96</v>
      </c>
      <c r="J12" s="15" t="s">
        <v>97</v>
      </c>
      <c r="K12" s="49"/>
      <c r="L12" s="15" t="s">
        <v>31</v>
      </c>
      <c r="M12" s="15"/>
      <c r="N12" s="15"/>
      <c r="O12" s="15"/>
      <c r="P12" s="5" t="str">
        <f aca="true">IF(O12&lt;&gt;"","✅ Done",IF(N12="","-",MAX(0,N12-TODAY())))</f>
        <v>-</v>
      </c>
      <c r="Q12" s="47"/>
      <c r="R12" s="47"/>
    </row>
    <row r="13" customFormat="false" ht="42" hidden="false" customHeight="true" outlineLevel="0" collapsed="false">
      <c r="A13" s="12" t="n">
        <v>10</v>
      </c>
      <c r="B13" s="10" t="s">
        <v>25</v>
      </c>
      <c r="C13" s="48" t="s">
        <v>26</v>
      </c>
      <c r="D13" s="12" t="s">
        <v>27</v>
      </c>
      <c r="E13" s="12" t="s">
        <v>114</v>
      </c>
      <c r="F13" s="13" t="s">
        <v>115</v>
      </c>
      <c r="G13" s="14" t="s">
        <v>18</v>
      </c>
      <c r="H13" s="15" t="s">
        <v>20</v>
      </c>
      <c r="I13" s="49" t="s">
        <v>96</v>
      </c>
      <c r="J13" s="15" t="s">
        <v>97</v>
      </c>
      <c r="K13" s="49"/>
      <c r="L13" s="15" t="s">
        <v>31</v>
      </c>
      <c r="M13" s="15"/>
      <c r="N13" s="15"/>
      <c r="O13" s="15"/>
      <c r="P13" s="5" t="str">
        <f aca="true">IF(O13&lt;&gt;"","✅ Done",IF(N13="","-",MAX(0,N13-TODAY())))</f>
        <v>-</v>
      </c>
      <c r="Q13" s="47"/>
      <c r="R13" s="47"/>
    </row>
    <row r="14" customFormat="false" ht="42" hidden="false" customHeight="true" outlineLevel="0" collapsed="false">
      <c r="A14" s="12" t="n">
        <v>11</v>
      </c>
      <c r="B14" s="10" t="s">
        <v>25</v>
      </c>
      <c r="C14" s="48" t="s">
        <v>26</v>
      </c>
      <c r="D14" s="12" t="s">
        <v>27</v>
      </c>
      <c r="E14" s="12" t="s">
        <v>116</v>
      </c>
      <c r="F14" s="13" t="s">
        <v>117</v>
      </c>
      <c r="G14" s="14" t="s">
        <v>74</v>
      </c>
      <c r="H14" s="15" t="s">
        <v>20</v>
      </c>
      <c r="I14" s="49" t="s">
        <v>96</v>
      </c>
      <c r="J14" s="15" t="s">
        <v>97</v>
      </c>
      <c r="K14" s="49"/>
      <c r="L14" s="15" t="s">
        <v>31</v>
      </c>
      <c r="M14" s="15"/>
      <c r="N14" s="15"/>
      <c r="O14" s="15"/>
      <c r="P14" s="5" t="str">
        <f aca="true">IF(O14&lt;&gt;"","✅ Done",IF(N14="","-",MAX(0,N14-TODAY())))</f>
        <v>-</v>
      </c>
      <c r="Q14" s="47"/>
      <c r="R14" s="47"/>
    </row>
    <row r="15" customFormat="false" ht="42" hidden="false" customHeight="true" outlineLevel="0" collapsed="false">
      <c r="A15" s="12" t="n">
        <v>12</v>
      </c>
      <c r="B15" s="10" t="s">
        <v>25</v>
      </c>
      <c r="C15" s="48" t="s">
        <v>26</v>
      </c>
      <c r="D15" s="12" t="s">
        <v>27</v>
      </c>
      <c r="E15" s="12" t="s">
        <v>118</v>
      </c>
      <c r="F15" s="13" t="s">
        <v>119</v>
      </c>
      <c r="G15" s="14" t="s">
        <v>74</v>
      </c>
      <c r="H15" s="15" t="s">
        <v>20</v>
      </c>
      <c r="I15" s="49" t="s">
        <v>96</v>
      </c>
      <c r="J15" s="15" t="s">
        <v>97</v>
      </c>
      <c r="K15" s="49"/>
      <c r="L15" s="15" t="s">
        <v>31</v>
      </c>
      <c r="M15" s="15"/>
      <c r="N15" s="15"/>
      <c r="O15" s="15"/>
      <c r="P15" s="5" t="str">
        <f aca="true">IF(O15&lt;&gt;"","✅ Done",IF(N15="","-",MAX(0,N15-TODAY())))</f>
        <v>-</v>
      </c>
      <c r="Q15" s="47"/>
      <c r="R15" s="47"/>
    </row>
    <row r="16" customFormat="false" ht="42" hidden="false" customHeight="true" outlineLevel="0" collapsed="false">
      <c r="A16" s="12" t="n">
        <v>13</v>
      </c>
      <c r="B16" s="10" t="s">
        <v>25</v>
      </c>
      <c r="C16" s="48" t="s">
        <v>26</v>
      </c>
      <c r="D16" s="12" t="s">
        <v>32</v>
      </c>
      <c r="E16" s="12" t="s">
        <v>120</v>
      </c>
      <c r="F16" s="13" t="s">
        <v>121</v>
      </c>
      <c r="G16" s="14" t="s">
        <v>18</v>
      </c>
      <c r="H16" s="15" t="s">
        <v>20</v>
      </c>
      <c r="I16" s="49" t="s">
        <v>96</v>
      </c>
      <c r="J16" s="15" t="s">
        <v>97</v>
      </c>
      <c r="K16" s="49"/>
      <c r="L16" s="15" t="s">
        <v>31</v>
      </c>
      <c r="M16" s="15"/>
      <c r="N16" s="15"/>
      <c r="O16" s="15"/>
      <c r="P16" s="5" t="str">
        <f aca="true">IF(O16&lt;&gt;"","✅ Done",IF(N16="","-",MAX(0,N16-TODAY())))</f>
        <v>-</v>
      </c>
      <c r="Q16" s="47"/>
      <c r="R16" s="47"/>
    </row>
    <row r="17" customFormat="false" ht="42" hidden="false" customHeight="true" outlineLevel="0" collapsed="false">
      <c r="A17" s="12" t="n">
        <v>14</v>
      </c>
      <c r="B17" s="10" t="s">
        <v>25</v>
      </c>
      <c r="C17" s="48" t="s">
        <v>26</v>
      </c>
      <c r="D17" s="12" t="s">
        <v>32</v>
      </c>
      <c r="E17" s="12" t="s">
        <v>122</v>
      </c>
      <c r="F17" s="13" t="s">
        <v>123</v>
      </c>
      <c r="G17" s="14" t="s">
        <v>18</v>
      </c>
      <c r="H17" s="15" t="s">
        <v>20</v>
      </c>
      <c r="I17" s="49" t="s">
        <v>96</v>
      </c>
      <c r="J17" s="15" t="s">
        <v>97</v>
      </c>
      <c r="K17" s="49"/>
      <c r="L17" s="15" t="s">
        <v>31</v>
      </c>
      <c r="M17" s="15"/>
      <c r="N17" s="15"/>
      <c r="O17" s="15"/>
      <c r="P17" s="5" t="str">
        <f aca="true">IF(O17&lt;&gt;"","✅ Done",IF(N17="","-",MAX(0,N17-TODAY())))</f>
        <v>-</v>
      </c>
      <c r="Q17" s="47"/>
      <c r="R17" s="47"/>
    </row>
    <row r="18" customFormat="false" ht="42" hidden="false" customHeight="true" outlineLevel="0" collapsed="false">
      <c r="A18" s="12" t="n">
        <v>15</v>
      </c>
      <c r="B18" s="10" t="s">
        <v>25</v>
      </c>
      <c r="C18" s="48" t="s">
        <v>26</v>
      </c>
      <c r="D18" s="12" t="s">
        <v>32</v>
      </c>
      <c r="E18" s="12" t="s">
        <v>124</v>
      </c>
      <c r="F18" s="13" t="s">
        <v>125</v>
      </c>
      <c r="G18" s="14" t="s">
        <v>74</v>
      </c>
      <c r="H18" s="15" t="s">
        <v>20</v>
      </c>
      <c r="I18" s="49" t="s">
        <v>96</v>
      </c>
      <c r="J18" s="15" t="s">
        <v>97</v>
      </c>
      <c r="K18" s="49"/>
      <c r="L18" s="15" t="s">
        <v>31</v>
      </c>
      <c r="M18" s="15"/>
      <c r="N18" s="15"/>
      <c r="O18" s="15"/>
      <c r="P18" s="5" t="str">
        <f aca="true">IF(O18&lt;&gt;"","✅ Done",IF(N18="","-",MAX(0,N18-TODAY())))</f>
        <v>-</v>
      </c>
      <c r="Q18" s="47"/>
      <c r="R18" s="47"/>
    </row>
    <row r="19" customFormat="false" ht="42" hidden="false" customHeight="true" outlineLevel="0" collapsed="false">
      <c r="A19" s="12" t="n">
        <v>16</v>
      </c>
      <c r="B19" s="10" t="s">
        <v>25</v>
      </c>
      <c r="C19" s="48" t="s">
        <v>26</v>
      </c>
      <c r="D19" s="12" t="s">
        <v>32</v>
      </c>
      <c r="E19" s="12" t="s">
        <v>126</v>
      </c>
      <c r="F19" s="13" t="s">
        <v>127</v>
      </c>
      <c r="G19" s="14" t="s">
        <v>74</v>
      </c>
      <c r="H19" s="15" t="s">
        <v>20</v>
      </c>
      <c r="I19" s="49" t="s">
        <v>96</v>
      </c>
      <c r="J19" s="15" t="s">
        <v>97</v>
      </c>
      <c r="K19" s="49"/>
      <c r="L19" s="15" t="s">
        <v>31</v>
      </c>
      <c r="M19" s="15"/>
      <c r="N19" s="15"/>
      <c r="O19" s="15"/>
      <c r="P19" s="5" t="str">
        <f aca="true">IF(O19&lt;&gt;"","✅ Done",IF(N19="","-",MAX(0,N19-TODAY())))</f>
        <v>-</v>
      </c>
      <c r="Q19" s="47"/>
      <c r="R19" s="47"/>
    </row>
    <row r="20" customFormat="false" ht="42" hidden="false" customHeight="true" outlineLevel="0" collapsed="false">
      <c r="A20" s="18" t="n">
        <v>17</v>
      </c>
      <c r="B20" s="16" t="s">
        <v>36</v>
      </c>
      <c r="C20" s="50" t="s">
        <v>37</v>
      </c>
      <c r="D20" s="18" t="s">
        <v>38</v>
      </c>
      <c r="E20" s="18" t="s">
        <v>128</v>
      </c>
      <c r="F20" s="19" t="s">
        <v>129</v>
      </c>
      <c r="G20" s="20" t="s">
        <v>18</v>
      </c>
      <c r="H20" s="21" t="s">
        <v>20</v>
      </c>
      <c r="I20" s="51" t="s">
        <v>96</v>
      </c>
      <c r="J20" s="21" t="s">
        <v>97</v>
      </c>
      <c r="K20" s="51"/>
      <c r="L20" s="21" t="s">
        <v>42</v>
      </c>
      <c r="M20" s="21"/>
      <c r="N20" s="21"/>
      <c r="O20" s="21"/>
      <c r="P20" s="5" t="str">
        <f aca="true">IF(O20&lt;&gt;"","✅ Done",IF(N20="","-",MAX(0,N20-TODAY())))</f>
        <v>-</v>
      </c>
      <c r="Q20" s="47"/>
      <c r="R20" s="47"/>
    </row>
    <row r="21" customFormat="false" ht="42" hidden="false" customHeight="true" outlineLevel="0" collapsed="false">
      <c r="A21" s="18" t="n">
        <v>18</v>
      </c>
      <c r="B21" s="16" t="s">
        <v>36</v>
      </c>
      <c r="C21" s="50" t="s">
        <v>37</v>
      </c>
      <c r="D21" s="18" t="s">
        <v>38</v>
      </c>
      <c r="E21" s="18" t="s">
        <v>130</v>
      </c>
      <c r="F21" s="19" t="s">
        <v>131</v>
      </c>
      <c r="G21" s="20" t="s">
        <v>18</v>
      </c>
      <c r="H21" s="21" t="s">
        <v>20</v>
      </c>
      <c r="I21" s="51" t="s">
        <v>96</v>
      </c>
      <c r="J21" s="21" t="s">
        <v>97</v>
      </c>
      <c r="K21" s="51"/>
      <c r="L21" s="21" t="s">
        <v>42</v>
      </c>
      <c r="M21" s="21"/>
      <c r="N21" s="21"/>
      <c r="O21" s="21"/>
      <c r="P21" s="5" t="str">
        <f aca="true">IF(O21&lt;&gt;"","✅ Done",IF(N21="","-",MAX(0,N21-TODAY())))</f>
        <v>-</v>
      </c>
      <c r="Q21" s="47"/>
      <c r="R21" s="47"/>
    </row>
    <row r="22" customFormat="false" ht="42" hidden="false" customHeight="true" outlineLevel="0" collapsed="false">
      <c r="A22" s="18" t="n">
        <v>19</v>
      </c>
      <c r="B22" s="16" t="s">
        <v>36</v>
      </c>
      <c r="C22" s="50" t="s">
        <v>37</v>
      </c>
      <c r="D22" s="18" t="s">
        <v>38</v>
      </c>
      <c r="E22" s="18" t="s">
        <v>132</v>
      </c>
      <c r="F22" s="19" t="s">
        <v>133</v>
      </c>
      <c r="G22" s="20" t="s">
        <v>18</v>
      </c>
      <c r="H22" s="21" t="s">
        <v>20</v>
      </c>
      <c r="I22" s="51" t="s">
        <v>96</v>
      </c>
      <c r="J22" s="21" t="s">
        <v>97</v>
      </c>
      <c r="K22" s="51"/>
      <c r="L22" s="21" t="s">
        <v>42</v>
      </c>
      <c r="M22" s="21"/>
      <c r="N22" s="21"/>
      <c r="O22" s="21"/>
      <c r="P22" s="5" t="str">
        <f aca="true">IF(O22&lt;&gt;"","✅ Done",IF(N22="","-",MAX(0,N22-TODAY())))</f>
        <v>-</v>
      </c>
      <c r="Q22" s="47"/>
      <c r="R22" s="47"/>
    </row>
    <row r="23" customFormat="false" ht="42" hidden="false" customHeight="true" outlineLevel="0" collapsed="false">
      <c r="A23" s="18" t="n">
        <v>20</v>
      </c>
      <c r="B23" s="16" t="s">
        <v>36</v>
      </c>
      <c r="C23" s="50" t="s">
        <v>37</v>
      </c>
      <c r="D23" s="18" t="s">
        <v>38</v>
      </c>
      <c r="E23" s="18" t="s">
        <v>134</v>
      </c>
      <c r="F23" s="19" t="s">
        <v>135</v>
      </c>
      <c r="G23" s="20" t="s">
        <v>74</v>
      </c>
      <c r="H23" s="21" t="s">
        <v>20</v>
      </c>
      <c r="I23" s="51" t="s">
        <v>96</v>
      </c>
      <c r="J23" s="21" t="s">
        <v>97</v>
      </c>
      <c r="K23" s="51"/>
      <c r="L23" s="21" t="s">
        <v>42</v>
      </c>
      <c r="M23" s="21"/>
      <c r="N23" s="21"/>
      <c r="O23" s="21"/>
      <c r="P23" s="5" t="str">
        <f aca="true">IF(O23&lt;&gt;"","✅ Done",IF(N23="","-",MAX(0,N23-TODAY())))</f>
        <v>-</v>
      </c>
      <c r="Q23" s="47"/>
      <c r="R23" s="47"/>
    </row>
    <row r="24" customFormat="false" ht="42" hidden="false" customHeight="true" outlineLevel="0" collapsed="false">
      <c r="A24" s="18" t="n">
        <v>21</v>
      </c>
      <c r="B24" s="16" t="s">
        <v>36</v>
      </c>
      <c r="C24" s="50" t="s">
        <v>37</v>
      </c>
      <c r="D24" s="18" t="s">
        <v>38</v>
      </c>
      <c r="E24" s="18" t="s">
        <v>136</v>
      </c>
      <c r="F24" s="19" t="s">
        <v>137</v>
      </c>
      <c r="G24" s="20" t="s">
        <v>138</v>
      </c>
      <c r="H24" s="21" t="s">
        <v>20</v>
      </c>
      <c r="I24" s="51" t="s">
        <v>96</v>
      </c>
      <c r="J24" s="21" t="s">
        <v>97</v>
      </c>
      <c r="K24" s="51"/>
      <c r="L24" s="21" t="s">
        <v>42</v>
      </c>
      <c r="M24" s="21"/>
      <c r="N24" s="21"/>
      <c r="O24" s="21"/>
      <c r="P24" s="5" t="str">
        <f aca="true">IF(O24&lt;&gt;"","✅ Done",IF(N24="","-",MAX(0,N24-TODAY())))</f>
        <v>-</v>
      </c>
      <c r="Q24" s="47"/>
      <c r="R24" s="47"/>
    </row>
    <row r="25" customFormat="false" ht="42" hidden="false" customHeight="true" outlineLevel="0" collapsed="false">
      <c r="A25" s="24" t="n">
        <v>22</v>
      </c>
      <c r="B25" s="22" t="s">
        <v>43</v>
      </c>
      <c r="C25" s="52" t="s">
        <v>44</v>
      </c>
      <c r="D25" s="24" t="s">
        <v>45</v>
      </c>
      <c r="E25" s="24" t="s">
        <v>139</v>
      </c>
      <c r="F25" s="25" t="s">
        <v>140</v>
      </c>
      <c r="G25" s="26" t="s">
        <v>18</v>
      </c>
      <c r="H25" s="27" t="s">
        <v>20</v>
      </c>
      <c r="I25" s="53" t="s">
        <v>96</v>
      </c>
      <c r="J25" s="27" t="s">
        <v>97</v>
      </c>
      <c r="K25" s="53"/>
      <c r="L25" s="27" t="s">
        <v>49</v>
      </c>
      <c r="M25" s="27"/>
      <c r="N25" s="27"/>
      <c r="O25" s="27"/>
      <c r="P25" s="5" t="str">
        <f aca="true">IF(O25&lt;&gt;"","✅ Done",IF(N25="","-",MAX(0,N25-TODAY())))</f>
        <v>-</v>
      </c>
      <c r="Q25" s="47"/>
      <c r="R25" s="47"/>
    </row>
    <row r="26" customFormat="false" ht="42" hidden="false" customHeight="true" outlineLevel="0" collapsed="false">
      <c r="A26" s="24" t="n">
        <v>23</v>
      </c>
      <c r="B26" s="22" t="s">
        <v>43</v>
      </c>
      <c r="C26" s="52" t="s">
        <v>44</v>
      </c>
      <c r="D26" s="24" t="s">
        <v>45</v>
      </c>
      <c r="E26" s="24" t="s">
        <v>141</v>
      </c>
      <c r="F26" s="25" t="s">
        <v>142</v>
      </c>
      <c r="G26" s="26" t="s">
        <v>18</v>
      </c>
      <c r="H26" s="27" t="s">
        <v>20</v>
      </c>
      <c r="I26" s="53" t="s">
        <v>96</v>
      </c>
      <c r="J26" s="27" t="s">
        <v>97</v>
      </c>
      <c r="K26" s="53"/>
      <c r="L26" s="27" t="s">
        <v>49</v>
      </c>
      <c r="M26" s="27"/>
      <c r="N26" s="27"/>
      <c r="O26" s="27"/>
      <c r="P26" s="5" t="str">
        <f aca="true">IF(O26&lt;&gt;"","✅ Done",IF(N26="","-",MAX(0,N26-TODAY())))</f>
        <v>-</v>
      </c>
      <c r="Q26" s="47"/>
      <c r="R26" s="47"/>
    </row>
    <row r="27" customFormat="false" ht="42" hidden="false" customHeight="true" outlineLevel="0" collapsed="false">
      <c r="A27" s="24" t="n">
        <v>24</v>
      </c>
      <c r="B27" s="22" t="s">
        <v>43</v>
      </c>
      <c r="C27" s="52" t="s">
        <v>44</v>
      </c>
      <c r="D27" s="24" t="s">
        <v>45</v>
      </c>
      <c r="E27" s="24" t="s">
        <v>143</v>
      </c>
      <c r="F27" s="25" t="s">
        <v>144</v>
      </c>
      <c r="G27" s="26" t="s">
        <v>18</v>
      </c>
      <c r="H27" s="27" t="s">
        <v>20</v>
      </c>
      <c r="I27" s="53" t="s">
        <v>96</v>
      </c>
      <c r="J27" s="27" t="s">
        <v>97</v>
      </c>
      <c r="K27" s="53"/>
      <c r="L27" s="27" t="s">
        <v>49</v>
      </c>
      <c r="M27" s="27"/>
      <c r="N27" s="27"/>
      <c r="O27" s="27"/>
      <c r="P27" s="5" t="str">
        <f aca="true">IF(O27&lt;&gt;"","✅ Done",IF(N27="","-",MAX(0,N27-TODAY())))</f>
        <v>-</v>
      </c>
      <c r="Q27" s="47"/>
      <c r="R27" s="47"/>
    </row>
    <row r="28" customFormat="false" ht="42" hidden="false" customHeight="true" outlineLevel="0" collapsed="false">
      <c r="A28" s="24" t="n">
        <v>25</v>
      </c>
      <c r="B28" s="22" t="s">
        <v>43</v>
      </c>
      <c r="C28" s="52" t="s">
        <v>44</v>
      </c>
      <c r="D28" s="24" t="s">
        <v>45</v>
      </c>
      <c r="E28" s="24" t="s">
        <v>145</v>
      </c>
      <c r="F28" s="25" t="s">
        <v>146</v>
      </c>
      <c r="G28" s="26" t="s">
        <v>18</v>
      </c>
      <c r="H28" s="27" t="s">
        <v>20</v>
      </c>
      <c r="I28" s="53" t="s">
        <v>96</v>
      </c>
      <c r="J28" s="27" t="s">
        <v>97</v>
      </c>
      <c r="K28" s="53"/>
      <c r="L28" s="27" t="s">
        <v>49</v>
      </c>
      <c r="M28" s="27"/>
      <c r="N28" s="27"/>
      <c r="O28" s="27"/>
      <c r="P28" s="5" t="str">
        <f aca="true">IF(O28&lt;&gt;"","✅ Done",IF(N28="","-",MAX(0,N28-TODAY())))</f>
        <v>-</v>
      </c>
      <c r="Q28" s="47"/>
      <c r="R28" s="47"/>
    </row>
    <row r="29" customFormat="false" ht="42" hidden="false" customHeight="true" outlineLevel="0" collapsed="false">
      <c r="A29" s="24" t="n">
        <v>26</v>
      </c>
      <c r="B29" s="22" t="s">
        <v>43</v>
      </c>
      <c r="C29" s="52" t="s">
        <v>44</v>
      </c>
      <c r="D29" s="24" t="s">
        <v>45</v>
      </c>
      <c r="E29" s="24" t="s">
        <v>147</v>
      </c>
      <c r="F29" s="25" t="s">
        <v>148</v>
      </c>
      <c r="G29" s="26" t="s">
        <v>74</v>
      </c>
      <c r="H29" s="27" t="s">
        <v>20</v>
      </c>
      <c r="I29" s="53" t="s">
        <v>96</v>
      </c>
      <c r="J29" s="27" t="s">
        <v>97</v>
      </c>
      <c r="K29" s="53"/>
      <c r="L29" s="27" t="s">
        <v>49</v>
      </c>
      <c r="M29" s="27"/>
      <c r="N29" s="27"/>
      <c r="O29" s="27"/>
      <c r="P29" s="5" t="str">
        <f aca="true">IF(O29&lt;&gt;"","✅ Done",IF(N29="","-",MAX(0,N29-TODAY())))</f>
        <v>-</v>
      </c>
      <c r="Q29" s="47"/>
      <c r="R29" s="47"/>
    </row>
    <row r="30" customFormat="false" ht="42" hidden="false" customHeight="true" outlineLevel="0" collapsed="false">
      <c r="A30" s="24" t="n">
        <v>27</v>
      </c>
      <c r="B30" s="22" t="s">
        <v>43</v>
      </c>
      <c r="C30" s="52" t="s">
        <v>44</v>
      </c>
      <c r="D30" s="24" t="s">
        <v>50</v>
      </c>
      <c r="E30" s="24" t="s">
        <v>149</v>
      </c>
      <c r="F30" s="25" t="s">
        <v>150</v>
      </c>
      <c r="G30" s="26" t="s">
        <v>54</v>
      </c>
      <c r="H30" s="27" t="s">
        <v>20</v>
      </c>
      <c r="I30" s="53" t="s">
        <v>96</v>
      </c>
      <c r="J30" s="27" t="s">
        <v>97</v>
      </c>
      <c r="K30" s="53"/>
      <c r="L30" s="27" t="s">
        <v>49</v>
      </c>
      <c r="M30" s="27"/>
      <c r="N30" s="27"/>
      <c r="O30" s="27"/>
      <c r="P30" s="5" t="str">
        <f aca="true">IF(O30&lt;&gt;"","✅ Done",IF(N30="","-",MAX(0,N30-TODAY())))</f>
        <v>-</v>
      </c>
      <c r="Q30" s="47"/>
      <c r="R30" s="47"/>
    </row>
    <row r="31" customFormat="false" ht="42" hidden="false" customHeight="true" outlineLevel="0" collapsed="false">
      <c r="A31" s="24" t="n">
        <v>28</v>
      </c>
      <c r="B31" s="22" t="s">
        <v>43</v>
      </c>
      <c r="C31" s="52" t="s">
        <v>44</v>
      </c>
      <c r="D31" s="24" t="s">
        <v>50</v>
      </c>
      <c r="E31" s="24" t="s">
        <v>151</v>
      </c>
      <c r="F31" s="25" t="s">
        <v>152</v>
      </c>
      <c r="G31" s="26" t="s">
        <v>54</v>
      </c>
      <c r="H31" s="27" t="s">
        <v>20</v>
      </c>
      <c r="I31" s="53" t="s">
        <v>96</v>
      </c>
      <c r="J31" s="27" t="s">
        <v>97</v>
      </c>
      <c r="K31" s="53"/>
      <c r="L31" s="27" t="s">
        <v>49</v>
      </c>
      <c r="M31" s="27"/>
      <c r="N31" s="27"/>
      <c r="O31" s="27"/>
      <c r="P31" s="5" t="str">
        <f aca="true">IF(O31&lt;&gt;"","✅ Done",IF(N31="","-",MAX(0,N31-TODAY())))</f>
        <v>-</v>
      </c>
      <c r="Q31" s="47"/>
      <c r="R31" s="47"/>
    </row>
    <row r="32" customFormat="false" ht="42" hidden="false" customHeight="true" outlineLevel="0" collapsed="false">
      <c r="A32" s="24" t="n">
        <v>29</v>
      </c>
      <c r="B32" s="22" t="s">
        <v>43</v>
      </c>
      <c r="C32" s="52" t="s">
        <v>44</v>
      </c>
      <c r="D32" s="24" t="s">
        <v>50</v>
      </c>
      <c r="E32" s="24" t="s">
        <v>153</v>
      </c>
      <c r="F32" s="25" t="s">
        <v>154</v>
      </c>
      <c r="G32" s="26" t="s">
        <v>18</v>
      </c>
      <c r="H32" s="27" t="s">
        <v>20</v>
      </c>
      <c r="I32" s="53" t="s">
        <v>96</v>
      </c>
      <c r="J32" s="27" t="s">
        <v>97</v>
      </c>
      <c r="K32" s="53"/>
      <c r="L32" s="27" t="s">
        <v>49</v>
      </c>
      <c r="M32" s="27"/>
      <c r="N32" s="27"/>
      <c r="O32" s="27"/>
      <c r="P32" s="5" t="str">
        <f aca="true">IF(O32&lt;&gt;"","✅ Done",IF(N32="","-",MAX(0,N32-TODAY())))</f>
        <v>-</v>
      </c>
      <c r="Q32" s="47"/>
      <c r="R32" s="47"/>
    </row>
    <row r="33" customFormat="false" ht="42" hidden="false" customHeight="true" outlineLevel="0" collapsed="false">
      <c r="A33" s="30" t="n">
        <v>30</v>
      </c>
      <c r="B33" s="28" t="s">
        <v>55</v>
      </c>
      <c r="C33" s="54" t="s">
        <v>56</v>
      </c>
      <c r="D33" s="30" t="s">
        <v>57</v>
      </c>
      <c r="E33" s="30" t="s">
        <v>155</v>
      </c>
      <c r="F33" s="31" t="s">
        <v>156</v>
      </c>
      <c r="G33" s="32" t="s">
        <v>18</v>
      </c>
      <c r="H33" s="33" t="s">
        <v>20</v>
      </c>
      <c r="I33" s="55" t="s">
        <v>96</v>
      </c>
      <c r="J33" s="33" t="s">
        <v>97</v>
      </c>
      <c r="K33" s="55"/>
      <c r="L33" s="33" t="s">
        <v>61</v>
      </c>
      <c r="M33" s="33"/>
      <c r="N33" s="33"/>
      <c r="O33" s="33"/>
      <c r="P33" s="5" t="str">
        <f aca="true">IF(O33&lt;&gt;"","✅ Done",IF(N33="","-",MAX(0,N33-TODAY())))</f>
        <v>-</v>
      </c>
      <c r="Q33" s="47"/>
      <c r="R33" s="47"/>
    </row>
    <row r="34" customFormat="false" ht="42" hidden="false" customHeight="true" outlineLevel="0" collapsed="false">
      <c r="A34" s="30" t="n">
        <v>31</v>
      </c>
      <c r="B34" s="28" t="s">
        <v>55</v>
      </c>
      <c r="C34" s="54" t="s">
        <v>56</v>
      </c>
      <c r="D34" s="30" t="s">
        <v>57</v>
      </c>
      <c r="E34" s="30" t="s">
        <v>157</v>
      </c>
      <c r="F34" s="31" t="s">
        <v>158</v>
      </c>
      <c r="G34" s="32" t="s">
        <v>18</v>
      </c>
      <c r="H34" s="33" t="s">
        <v>20</v>
      </c>
      <c r="I34" s="55" t="s">
        <v>96</v>
      </c>
      <c r="J34" s="33" t="s">
        <v>97</v>
      </c>
      <c r="K34" s="55"/>
      <c r="L34" s="33" t="s">
        <v>61</v>
      </c>
      <c r="M34" s="33"/>
      <c r="N34" s="33"/>
      <c r="O34" s="33"/>
      <c r="P34" s="5" t="str">
        <f aca="true">IF(O34&lt;&gt;"","✅ Done",IF(N34="","-",MAX(0,N34-TODAY())))</f>
        <v>-</v>
      </c>
      <c r="Q34" s="47"/>
      <c r="R34" s="47"/>
    </row>
    <row r="35" customFormat="false" ht="42" hidden="false" customHeight="true" outlineLevel="0" collapsed="false">
      <c r="A35" s="30" t="n">
        <v>32</v>
      </c>
      <c r="B35" s="28" t="s">
        <v>55</v>
      </c>
      <c r="C35" s="54" t="s">
        <v>56</v>
      </c>
      <c r="D35" s="30" t="s">
        <v>57</v>
      </c>
      <c r="E35" s="30" t="s">
        <v>159</v>
      </c>
      <c r="F35" s="31" t="s">
        <v>160</v>
      </c>
      <c r="G35" s="32" t="s">
        <v>18</v>
      </c>
      <c r="H35" s="33" t="s">
        <v>20</v>
      </c>
      <c r="I35" s="55" t="s">
        <v>96</v>
      </c>
      <c r="J35" s="33" t="s">
        <v>97</v>
      </c>
      <c r="K35" s="55"/>
      <c r="L35" s="33" t="s">
        <v>61</v>
      </c>
      <c r="M35" s="33"/>
      <c r="N35" s="33"/>
      <c r="O35" s="33"/>
      <c r="P35" s="5" t="str">
        <f aca="true">IF(O35&lt;&gt;"","✅ Done",IF(N35="","-",MAX(0,N35-TODAY())))</f>
        <v>-</v>
      </c>
      <c r="Q35" s="47"/>
      <c r="R35" s="47"/>
    </row>
    <row r="36" customFormat="false" ht="42" hidden="false" customHeight="true" outlineLevel="0" collapsed="false">
      <c r="A36" s="30" t="n">
        <v>33</v>
      </c>
      <c r="B36" s="28" t="s">
        <v>55</v>
      </c>
      <c r="C36" s="54" t="s">
        <v>56</v>
      </c>
      <c r="D36" s="30" t="s">
        <v>57</v>
      </c>
      <c r="E36" s="30" t="s">
        <v>161</v>
      </c>
      <c r="F36" s="31" t="s">
        <v>162</v>
      </c>
      <c r="G36" s="32" t="s">
        <v>18</v>
      </c>
      <c r="H36" s="33" t="s">
        <v>20</v>
      </c>
      <c r="I36" s="55" t="s">
        <v>96</v>
      </c>
      <c r="J36" s="33" t="s">
        <v>97</v>
      </c>
      <c r="K36" s="55"/>
      <c r="L36" s="33" t="s">
        <v>61</v>
      </c>
      <c r="M36" s="33"/>
      <c r="N36" s="33"/>
      <c r="O36" s="33"/>
      <c r="P36" s="5" t="str">
        <f aca="true">IF(O36&lt;&gt;"","✅ Done",IF(N36="","-",MAX(0,N36-TODAY())))</f>
        <v>-</v>
      </c>
      <c r="Q36" s="47"/>
      <c r="R36" s="47"/>
    </row>
    <row r="37" customFormat="false" ht="42" hidden="false" customHeight="true" outlineLevel="0" collapsed="false">
      <c r="A37" s="30" t="n">
        <v>34</v>
      </c>
      <c r="B37" s="28" t="s">
        <v>55</v>
      </c>
      <c r="C37" s="54" t="s">
        <v>56</v>
      </c>
      <c r="D37" s="30" t="s">
        <v>57</v>
      </c>
      <c r="E37" s="30" t="s">
        <v>163</v>
      </c>
      <c r="F37" s="31" t="s">
        <v>164</v>
      </c>
      <c r="G37" s="32" t="s">
        <v>74</v>
      </c>
      <c r="H37" s="33" t="s">
        <v>20</v>
      </c>
      <c r="I37" s="55" t="s">
        <v>96</v>
      </c>
      <c r="J37" s="33" t="s">
        <v>97</v>
      </c>
      <c r="K37" s="55"/>
      <c r="L37" s="33" t="s">
        <v>61</v>
      </c>
      <c r="M37" s="33"/>
      <c r="N37" s="33"/>
      <c r="O37" s="33"/>
      <c r="P37" s="5" t="str">
        <f aca="true">IF(O37&lt;&gt;"","✅ Done",IF(N37="","-",MAX(0,N37-TODAY())))</f>
        <v>-</v>
      </c>
      <c r="Q37" s="47"/>
      <c r="R37" s="47"/>
    </row>
    <row r="38" customFormat="false" ht="42" hidden="false" customHeight="true" outlineLevel="0" collapsed="false">
      <c r="A38" s="12" t="n">
        <v>35</v>
      </c>
      <c r="B38" s="34" t="s">
        <v>62</v>
      </c>
      <c r="C38" s="56" t="s">
        <v>63</v>
      </c>
      <c r="D38" s="12" t="s">
        <v>64</v>
      </c>
      <c r="E38" s="12" t="s">
        <v>165</v>
      </c>
      <c r="F38" s="13" t="s">
        <v>166</v>
      </c>
      <c r="G38" s="14" t="s">
        <v>18</v>
      </c>
      <c r="H38" s="15" t="s">
        <v>20</v>
      </c>
      <c r="I38" s="49" t="s">
        <v>96</v>
      </c>
      <c r="J38" s="15" t="s">
        <v>97</v>
      </c>
      <c r="K38" s="49"/>
      <c r="L38" s="15" t="s">
        <v>61</v>
      </c>
      <c r="M38" s="15"/>
      <c r="N38" s="15"/>
      <c r="O38" s="15"/>
      <c r="P38" s="5" t="str">
        <f aca="true">IF(O38&lt;&gt;"","✅ Done",IF(N38="","-",MAX(0,N38-TODAY())))</f>
        <v>-</v>
      </c>
      <c r="Q38" s="47"/>
      <c r="R38" s="47"/>
    </row>
    <row r="39" customFormat="false" ht="42" hidden="false" customHeight="true" outlineLevel="0" collapsed="false">
      <c r="A39" s="12" t="n">
        <v>36</v>
      </c>
      <c r="B39" s="34" t="s">
        <v>62</v>
      </c>
      <c r="C39" s="56" t="s">
        <v>63</v>
      </c>
      <c r="D39" s="12" t="s">
        <v>64</v>
      </c>
      <c r="E39" s="12" t="s">
        <v>167</v>
      </c>
      <c r="F39" s="13" t="s">
        <v>168</v>
      </c>
      <c r="G39" s="14" t="s">
        <v>18</v>
      </c>
      <c r="H39" s="15" t="s">
        <v>20</v>
      </c>
      <c r="I39" s="49" t="s">
        <v>96</v>
      </c>
      <c r="J39" s="15" t="s">
        <v>97</v>
      </c>
      <c r="K39" s="49"/>
      <c r="L39" s="15" t="s">
        <v>61</v>
      </c>
      <c r="M39" s="15"/>
      <c r="N39" s="15"/>
      <c r="O39" s="15"/>
      <c r="P39" s="5" t="str">
        <f aca="true">IF(O39&lt;&gt;"","✅ Done",IF(N39="","-",MAX(0,N39-TODAY())))</f>
        <v>-</v>
      </c>
      <c r="Q39" s="47"/>
      <c r="R39" s="47"/>
    </row>
    <row r="40" customFormat="false" ht="42" hidden="false" customHeight="true" outlineLevel="0" collapsed="false">
      <c r="A40" s="12" t="n">
        <v>37</v>
      </c>
      <c r="B40" s="34" t="s">
        <v>62</v>
      </c>
      <c r="C40" s="56" t="s">
        <v>63</v>
      </c>
      <c r="D40" s="12" t="s">
        <v>64</v>
      </c>
      <c r="E40" s="12" t="s">
        <v>169</v>
      </c>
      <c r="F40" s="13" t="s">
        <v>170</v>
      </c>
      <c r="G40" s="14" t="s">
        <v>74</v>
      </c>
      <c r="H40" s="15" t="s">
        <v>20</v>
      </c>
      <c r="I40" s="49" t="s">
        <v>96</v>
      </c>
      <c r="J40" s="15" t="s">
        <v>97</v>
      </c>
      <c r="K40" s="49"/>
      <c r="L40" s="15" t="s">
        <v>61</v>
      </c>
      <c r="M40" s="15"/>
      <c r="N40" s="15"/>
      <c r="O40" s="15"/>
      <c r="P40" s="5" t="str">
        <f aca="true">IF(O40&lt;&gt;"","✅ Done",IF(N40="","-",MAX(0,N40-TODAY())))</f>
        <v>-</v>
      </c>
      <c r="Q40" s="47"/>
      <c r="R40" s="47"/>
    </row>
    <row r="41" customFormat="false" ht="42" hidden="false" customHeight="true" outlineLevel="0" collapsed="false">
      <c r="A41" s="12" t="n">
        <v>38</v>
      </c>
      <c r="B41" s="34" t="s">
        <v>62</v>
      </c>
      <c r="C41" s="56" t="s">
        <v>63</v>
      </c>
      <c r="D41" s="12" t="s">
        <v>64</v>
      </c>
      <c r="E41" s="12" t="s">
        <v>171</v>
      </c>
      <c r="F41" s="13" t="s">
        <v>172</v>
      </c>
      <c r="G41" s="14" t="s">
        <v>74</v>
      </c>
      <c r="H41" s="15" t="s">
        <v>20</v>
      </c>
      <c r="I41" s="49" t="s">
        <v>96</v>
      </c>
      <c r="J41" s="15" t="s">
        <v>97</v>
      </c>
      <c r="K41" s="49"/>
      <c r="L41" s="15" t="s">
        <v>61</v>
      </c>
      <c r="M41" s="15"/>
      <c r="N41" s="15"/>
      <c r="O41" s="15"/>
      <c r="P41" s="5" t="str">
        <f aca="true">IF(O41&lt;&gt;"","✅ Done",IF(N41="","-",MAX(0,N41-TODAY())))</f>
        <v>-</v>
      </c>
      <c r="Q41" s="47"/>
      <c r="R41" s="47"/>
    </row>
    <row r="42" customFormat="false" ht="42" hidden="false" customHeight="true" outlineLevel="0" collapsed="false">
      <c r="A42" s="12" t="n">
        <v>39</v>
      </c>
      <c r="B42" s="34" t="s">
        <v>62</v>
      </c>
      <c r="C42" s="56" t="s">
        <v>63</v>
      </c>
      <c r="D42" s="12" t="s">
        <v>64</v>
      </c>
      <c r="E42" s="12" t="s">
        <v>173</v>
      </c>
      <c r="F42" s="13" t="s">
        <v>174</v>
      </c>
      <c r="G42" s="14" t="s">
        <v>138</v>
      </c>
      <c r="H42" s="15" t="s">
        <v>20</v>
      </c>
      <c r="I42" s="49" t="s">
        <v>96</v>
      </c>
      <c r="J42" s="15" t="s">
        <v>97</v>
      </c>
      <c r="K42" s="49"/>
      <c r="L42" s="15" t="s">
        <v>61</v>
      </c>
      <c r="M42" s="15"/>
      <c r="N42" s="15"/>
      <c r="O42" s="15"/>
      <c r="P42" s="5" t="str">
        <f aca="true">IF(O42&lt;&gt;"","✅ Done",IF(N42="","-",MAX(0,N42-TODAY())))</f>
        <v>-</v>
      </c>
      <c r="Q42" s="47"/>
      <c r="R42" s="47"/>
    </row>
    <row r="43" customFormat="false" ht="42" hidden="false" customHeight="true" outlineLevel="0" collapsed="false">
      <c r="A43" s="38" t="n">
        <v>40</v>
      </c>
      <c r="B43" s="36" t="s">
        <v>68</v>
      </c>
      <c r="C43" s="57" t="s">
        <v>69</v>
      </c>
      <c r="D43" s="38" t="s">
        <v>70</v>
      </c>
      <c r="E43" s="38" t="s">
        <v>175</v>
      </c>
      <c r="F43" s="39" t="s">
        <v>176</v>
      </c>
      <c r="G43" s="40" t="s">
        <v>18</v>
      </c>
      <c r="H43" s="41" t="s">
        <v>20</v>
      </c>
      <c r="I43" s="58" t="s">
        <v>96</v>
      </c>
      <c r="J43" s="41" t="s">
        <v>97</v>
      </c>
      <c r="K43" s="58"/>
      <c r="L43" s="41" t="s">
        <v>75</v>
      </c>
      <c r="M43" s="41"/>
      <c r="N43" s="41"/>
      <c r="O43" s="41"/>
      <c r="P43" s="5" t="str">
        <f aca="true">IF(O43&lt;&gt;"","✅ Done",IF(N43="","-",MAX(0,N43-TODAY())))</f>
        <v>-</v>
      </c>
      <c r="Q43" s="47"/>
      <c r="R43" s="47"/>
    </row>
    <row r="44" customFormat="false" ht="42" hidden="false" customHeight="true" outlineLevel="0" collapsed="false">
      <c r="A44" s="38" t="n">
        <v>41</v>
      </c>
      <c r="B44" s="36" t="s">
        <v>68</v>
      </c>
      <c r="C44" s="57" t="s">
        <v>69</v>
      </c>
      <c r="D44" s="38" t="s">
        <v>70</v>
      </c>
      <c r="E44" s="38" t="s">
        <v>177</v>
      </c>
      <c r="F44" s="39" t="s">
        <v>178</v>
      </c>
      <c r="G44" s="40" t="s">
        <v>18</v>
      </c>
      <c r="H44" s="41" t="s">
        <v>20</v>
      </c>
      <c r="I44" s="58" t="s">
        <v>96</v>
      </c>
      <c r="J44" s="41" t="s">
        <v>97</v>
      </c>
      <c r="K44" s="58"/>
      <c r="L44" s="41" t="s">
        <v>75</v>
      </c>
      <c r="M44" s="41"/>
      <c r="N44" s="41"/>
      <c r="O44" s="41"/>
      <c r="P44" s="5" t="str">
        <f aca="true">IF(O44&lt;&gt;"","✅ Done",IF(N44="","-",MAX(0,N44-TODAY())))</f>
        <v>-</v>
      </c>
      <c r="Q44" s="47"/>
      <c r="R44" s="47"/>
    </row>
    <row r="45" customFormat="false" ht="42" hidden="false" customHeight="true" outlineLevel="0" collapsed="false">
      <c r="A45" s="38" t="n">
        <v>42</v>
      </c>
      <c r="B45" s="36" t="s">
        <v>68</v>
      </c>
      <c r="C45" s="57" t="s">
        <v>69</v>
      </c>
      <c r="D45" s="38" t="s">
        <v>70</v>
      </c>
      <c r="E45" s="38" t="s">
        <v>179</v>
      </c>
      <c r="F45" s="39" t="s">
        <v>180</v>
      </c>
      <c r="G45" s="40" t="s">
        <v>18</v>
      </c>
      <c r="H45" s="41" t="s">
        <v>20</v>
      </c>
      <c r="I45" s="58" t="s">
        <v>96</v>
      </c>
      <c r="J45" s="41" t="s">
        <v>97</v>
      </c>
      <c r="K45" s="58"/>
      <c r="L45" s="41" t="s">
        <v>75</v>
      </c>
      <c r="M45" s="41"/>
      <c r="N45" s="41"/>
      <c r="O45" s="41"/>
      <c r="P45" s="5" t="str">
        <f aca="true">IF(O45&lt;&gt;"","✅ Done",IF(N45="","-",MAX(0,N45-TODAY())))</f>
        <v>-</v>
      </c>
      <c r="Q45" s="47"/>
      <c r="R45" s="47"/>
    </row>
    <row r="46" customFormat="false" ht="42" hidden="false" customHeight="true" outlineLevel="0" collapsed="false">
      <c r="A46" s="38" t="n">
        <v>43</v>
      </c>
      <c r="B46" s="36" t="s">
        <v>68</v>
      </c>
      <c r="C46" s="57" t="s">
        <v>69</v>
      </c>
      <c r="D46" s="38" t="s">
        <v>70</v>
      </c>
      <c r="E46" s="38" t="s">
        <v>181</v>
      </c>
      <c r="F46" s="39" t="s">
        <v>182</v>
      </c>
      <c r="G46" s="40" t="s">
        <v>74</v>
      </c>
      <c r="H46" s="41" t="s">
        <v>20</v>
      </c>
      <c r="I46" s="58" t="s">
        <v>96</v>
      </c>
      <c r="J46" s="41" t="s">
        <v>97</v>
      </c>
      <c r="K46" s="58"/>
      <c r="L46" s="41" t="s">
        <v>75</v>
      </c>
      <c r="M46" s="41"/>
      <c r="N46" s="41"/>
      <c r="O46" s="41"/>
      <c r="P46" s="5" t="str">
        <f aca="true">IF(O46&lt;&gt;"","✅ Done",IF(N46="","-",MAX(0,N46-TODAY())))</f>
        <v>-</v>
      </c>
      <c r="Q46" s="47"/>
      <c r="R46" s="47"/>
    </row>
    <row r="47" customFormat="false" ht="42" hidden="false" customHeight="true" outlineLevel="0" collapsed="false">
      <c r="A47" s="38" t="n">
        <v>44</v>
      </c>
      <c r="B47" s="36" t="s">
        <v>68</v>
      </c>
      <c r="C47" s="57" t="s">
        <v>69</v>
      </c>
      <c r="D47" s="38" t="s">
        <v>70</v>
      </c>
      <c r="E47" s="38" t="s">
        <v>183</v>
      </c>
      <c r="F47" s="39" t="s">
        <v>184</v>
      </c>
      <c r="G47" s="40" t="s">
        <v>138</v>
      </c>
      <c r="H47" s="41" t="s">
        <v>20</v>
      </c>
      <c r="I47" s="58" t="s">
        <v>96</v>
      </c>
      <c r="J47" s="41" t="s">
        <v>97</v>
      </c>
      <c r="K47" s="58"/>
      <c r="L47" s="41" t="s">
        <v>75</v>
      </c>
      <c r="M47" s="41"/>
      <c r="N47" s="41"/>
      <c r="O47" s="41"/>
      <c r="P47" s="5" t="str">
        <f aca="true">IF(O47&lt;&gt;"","✅ Done",IF(N47="","-",MAX(0,N47-TODAY())))</f>
        <v>-</v>
      </c>
      <c r="Q47" s="47"/>
      <c r="R47" s="47"/>
    </row>
    <row r="48" customFormat="false" ht="42" hidden="false" customHeight="true" outlineLevel="0" collapsed="false">
      <c r="A48" s="38" t="n">
        <v>45</v>
      </c>
      <c r="B48" s="36" t="s">
        <v>68</v>
      </c>
      <c r="C48" s="57" t="s">
        <v>69</v>
      </c>
      <c r="D48" s="38" t="s">
        <v>76</v>
      </c>
      <c r="E48" s="38" t="s">
        <v>185</v>
      </c>
      <c r="F48" s="39" t="s">
        <v>186</v>
      </c>
      <c r="G48" s="40" t="s">
        <v>18</v>
      </c>
      <c r="H48" s="41" t="s">
        <v>20</v>
      </c>
      <c r="I48" s="58" t="s">
        <v>96</v>
      </c>
      <c r="J48" s="41" t="s">
        <v>97</v>
      </c>
      <c r="K48" s="58"/>
      <c r="L48" s="41" t="s">
        <v>75</v>
      </c>
      <c r="M48" s="41"/>
      <c r="N48" s="41"/>
      <c r="O48" s="41"/>
      <c r="P48" s="5" t="str">
        <f aca="true">IF(O48&lt;&gt;"","✅ Done",IF(N48="","-",MAX(0,N48-TODAY())))</f>
        <v>-</v>
      </c>
      <c r="Q48" s="47"/>
      <c r="R48" s="47"/>
    </row>
    <row r="49" customFormat="false" ht="42" hidden="false" customHeight="true" outlineLevel="0" collapsed="false">
      <c r="A49" s="38" t="n">
        <v>46</v>
      </c>
      <c r="B49" s="36" t="s">
        <v>68</v>
      </c>
      <c r="C49" s="57" t="s">
        <v>69</v>
      </c>
      <c r="D49" s="38" t="s">
        <v>76</v>
      </c>
      <c r="E49" s="38" t="s">
        <v>187</v>
      </c>
      <c r="F49" s="39" t="s">
        <v>188</v>
      </c>
      <c r="G49" s="40" t="s">
        <v>74</v>
      </c>
      <c r="H49" s="41" t="s">
        <v>20</v>
      </c>
      <c r="I49" s="58" t="s">
        <v>96</v>
      </c>
      <c r="J49" s="41" t="s">
        <v>97</v>
      </c>
      <c r="K49" s="58"/>
      <c r="L49" s="41" t="s">
        <v>75</v>
      </c>
      <c r="M49" s="41"/>
      <c r="N49" s="41"/>
      <c r="O49" s="41"/>
      <c r="P49" s="5" t="str">
        <f aca="true">IF(O49&lt;&gt;"","✅ Done",IF(N49="","-",MAX(0,N49-TODAY())))</f>
        <v>-</v>
      </c>
      <c r="Q49" s="47"/>
      <c r="R49" s="47"/>
    </row>
    <row r="50" customFormat="false" ht="42" hidden="false" customHeight="true" outlineLevel="0" collapsed="false">
      <c r="A50" s="38" t="n">
        <v>47</v>
      </c>
      <c r="B50" s="36" t="s">
        <v>68</v>
      </c>
      <c r="C50" s="57" t="s">
        <v>69</v>
      </c>
      <c r="D50" s="38" t="s">
        <v>76</v>
      </c>
      <c r="E50" s="38" t="s">
        <v>189</v>
      </c>
      <c r="F50" s="39" t="s">
        <v>190</v>
      </c>
      <c r="G50" s="40" t="s">
        <v>74</v>
      </c>
      <c r="H50" s="41" t="s">
        <v>20</v>
      </c>
      <c r="I50" s="58" t="s">
        <v>96</v>
      </c>
      <c r="J50" s="41" t="s">
        <v>97</v>
      </c>
      <c r="K50" s="58"/>
      <c r="L50" s="41" t="s">
        <v>75</v>
      </c>
      <c r="M50" s="41"/>
      <c r="N50" s="41"/>
      <c r="O50" s="41"/>
      <c r="P50" s="5" t="str">
        <f aca="true">IF(O50&lt;&gt;"","✅ Done",IF(N50="","-",MAX(0,N50-TODAY())))</f>
        <v>-</v>
      </c>
      <c r="Q50" s="47"/>
      <c r="R50" s="47"/>
    </row>
  </sheetData>
  <autoFilter ref="A3:R3"/>
  <mergeCells count="2">
    <mergeCell ref="A1:R1"/>
    <mergeCell ref="A2:R2"/>
  </mergeCells>
  <conditionalFormatting sqref="H4:H50">
    <cfRule type="expression" priority="2" aboveAverage="0" equalAverage="0" bottom="0" percent="0" rank="0" text="" dxfId="0">
      <formula>H4="Done"</formula>
    </cfRule>
    <cfRule type="expression" priority="3" aboveAverage="0" equalAverage="0" bottom="0" percent="0" rank="0" text="" dxfId="1">
      <formula>H4="In Progress"</formula>
    </cfRule>
    <cfRule type="expression" priority="4" aboveAverage="0" equalAverage="0" bottom="0" percent="0" rank="0" text="" dxfId="2">
      <formula>H4="In Review"</formula>
    </cfRule>
    <cfRule type="expression" priority="5" aboveAverage="0" equalAverage="0" bottom="0" percent="0" rank="0" text="" dxfId="3">
      <formula>H4="On Hold"</formula>
    </cfRule>
    <cfRule type="expression" priority="6" aboveAverage="0" equalAverage="0" bottom="0" percent="0" rank="0" text="" dxfId="8">
      <formula>H4="Cancelled"</formula>
    </cfRule>
  </conditionalFormatting>
  <conditionalFormatting sqref="G4:G50">
    <cfRule type="expression" priority="7" aboveAverage="0" equalAverage="0" bottom="0" percent="0" rank="0" text="" dxfId="4">
      <formula>G4="Critical"</formula>
    </cfRule>
    <cfRule type="expression" priority="8" aboveAverage="0" equalAverage="0" bottom="0" percent="0" rank="0" text="" dxfId="5">
      <formula>G4="High"</formula>
    </cfRule>
    <cfRule type="expression" priority="9" aboveAverage="0" equalAverage="0" bottom="0" percent="0" rank="0" text="" dxfId="1">
      <formula>G4="Medium"</formula>
    </cfRule>
    <cfRule type="expression" priority="10" aboveAverage="0" equalAverage="0" bottom="0" percent="0" rank="0" text="" dxfId="0">
      <formula>G4="Low"</formula>
    </cfRule>
  </conditionalFormatting>
  <conditionalFormatting sqref="J4:J50">
    <cfRule type="expression" priority="11" aboveAverage="0" equalAverage="0" bottom="0" percent="0" rank="0" text="" dxfId="5">
      <formula>J4="Yes"</formula>
    </cfRule>
  </conditionalFormatting>
  <dataValidations count="3">
    <dataValidation allowBlank="true" errorStyle="stop" operator="between" showDropDown="false" showErrorMessage="false" showInputMessage="false" sqref="G4:G50" type="list">
      <formula1>"Critical,High,Medium,Low"</formula1>
      <formula2>0</formula2>
    </dataValidation>
    <dataValidation allowBlank="true" errorStyle="stop" operator="between" showDropDown="false" showErrorMessage="false" showInputMessage="false" sqref="H4:H50" type="list">
      <formula1>"Not Started,In Progress,In Review,Done,On Hold,Cancelled"</formula1>
      <formula2>0</formula2>
    </dataValidation>
    <dataValidation allowBlank="true" errorStyle="stop" operator="between" showDropDown="false" showErrorMessage="false" showInputMessage="false" sqref="J4:J5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8" min="6" style="0" width="14"/>
  </cols>
  <sheetData>
    <row r="1" customFormat="false" ht="39.75" hidden="false" customHeight="true" outlineLevel="0" collapsed="false">
      <c r="A1" s="59" t="s">
        <v>191</v>
      </c>
      <c r="B1" s="59"/>
      <c r="C1" s="59"/>
      <c r="D1" s="59"/>
      <c r="E1" s="59"/>
      <c r="F1" s="59"/>
      <c r="G1" s="59"/>
      <c r="H1" s="59"/>
    </row>
    <row r="3" customFormat="false" ht="27.75" hidden="false" customHeight="true" outlineLevel="0" collapsed="false">
      <c r="A3" s="34" t="s">
        <v>8</v>
      </c>
      <c r="B3" s="34" t="s">
        <v>192</v>
      </c>
      <c r="C3" s="34" t="s">
        <v>193</v>
      </c>
      <c r="D3" s="34" t="s">
        <v>194</v>
      </c>
      <c r="E3" s="34" t="s">
        <v>195</v>
      </c>
      <c r="F3" s="34" t="s">
        <v>196</v>
      </c>
      <c r="G3" s="34" t="s">
        <v>20</v>
      </c>
      <c r="H3" s="34" t="s">
        <v>11</v>
      </c>
    </row>
    <row r="4" customFormat="false" ht="31.5" hidden="false" customHeight="true" outlineLevel="0" collapsed="false">
      <c r="A4" s="7" t="s">
        <v>19</v>
      </c>
      <c r="B4" s="60" t="s">
        <v>197</v>
      </c>
      <c r="C4" s="8" t="n">
        <v>2</v>
      </c>
      <c r="D4" s="8" t="n">
        <v>7</v>
      </c>
      <c r="E4" s="61" t="n">
        <f aca="false">COUNTIFS('Sub-task Tracker'!L4:L50,"Sprint 1",'Sub-task Tracker'!H4:H50,"Done")</f>
        <v>0</v>
      </c>
      <c r="F4" s="61" t="n">
        <f aca="false">COUNTIFS('Sub-task Tracker'!L4:L50,"Sprint 1",'Sub-task Tracker'!H4:H50,"In Progress")</f>
        <v>0</v>
      </c>
      <c r="G4" s="61" t="n">
        <f aca="false">COUNTIFS('Sub-task Tracker'!L4:L50,"Sprint 1",'Sub-task Tracker'!H4:H50,"Not Started")</f>
        <v>7</v>
      </c>
      <c r="H4" s="62" t="n">
        <f aca="false">IF(7=0,0,E4/7)</f>
        <v>0</v>
      </c>
    </row>
    <row r="5" customFormat="false" ht="31.5" hidden="false" customHeight="true" outlineLevel="0" collapsed="false">
      <c r="A5" s="14" t="s">
        <v>31</v>
      </c>
      <c r="B5" s="63" t="s">
        <v>198</v>
      </c>
      <c r="C5" s="15" t="n">
        <v>2</v>
      </c>
      <c r="D5" s="15" t="n">
        <v>9</v>
      </c>
      <c r="E5" s="64" t="n">
        <f aca="false">COUNTIFS('Sub-task Tracker'!L4:L50,"Sprint 2",'Sub-task Tracker'!H4:H50,"Done")</f>
        <v>0</v>
      </c>
      <c r="F5" s="64" t="n">
        <f aca="false">COUNTIFS('Sub-task Tracker'!L4:L50,"Sprint 2",'Sub-task Tracker'!H4:H50,"In Progress")</f>
        <v>0</v>
      </c>
      <c r="G5" s="64" t="n">
        <f aca="false">COUNTIFS('Sub-task Tracker'!L4:L50,"Sprint 2",'Sub-task Tracker'!H4:H50,"Not Started")</f>
        <v>9</v>
      </c>
      <c r="H5" s="62" t="n">
        <f aca="false">IF(9=0,0,E5/9)</f>
        <v>0</v>
      </c>
    </row>
    <row r="6" customFormat="false" ht="31.5" hidden="false" customHeight="true" outlineLevel="0" collapsed="false">
      <c r="A6" s="65" t="s">
        <v>42</v>
      </c>
      <c r="B6" s="66" t="s">
        <v>199</v>
      </c>
      <c r="C6" s="67" t="n">
        <v>1</v>
      </c>
      <c r="D6" s="67" t="n">
        <v>5</v>
      </c>
      <c r="E6" s="68" t="n">
        <f aca="false">COUNTIFS('Sub-task Tracker'!L4:L50,"Sprint 3",'Sub-task Tracker'!H4:H50,"Done")</f>
        <v>0</v>
      </c>
      <c r="F6" s="68" t="n">
        <f aca="false">COUNTIFS('Sub-task Tracker'!L4:L50,"Sprint 3",'Sub-task Tracker'!H4:H50,"In Progress")</f>
        <v>0</v>
      </c>
      <c r="G6" s="68" t="n">
        <f aca="false">COUNTIFS('Sub-task Tracker'!L4:L50,"Sprint 3",'Sub-task Tracker'!H4:H50,"Not Started")</f>
        <v>5</v>
      </c>
      <c r="H6" s="62" t="n">
        <f aca="false">IF(5=0,0,E6/5)</f>
        <v>0</v>
      </c>
    </row>
    <row r="7" customFormat="false" ht="31.5" hidden="false" customHeight="true" outlineLevel="0" collapsed="false">
      <c r="A7" s="26" t="s">
        <v>49</v>
      </c>
      <c r="B7" s="69" t="s">
        <v>200</v>
      </c>
      <c r="C7" s="27" t="n">
        <v>2</v>
      </c>
      <c r="D7" s="27" t="n">
        <v>8</v>
      </c>
      <c r="E7" s="70" t="n">
        <f aca="false">COUNTIFS('Sub-task Tracker'!L4:L50,"Sprint 4",'Sub-task Tracker'!H4:H50,"Done")</f>
        <v>0</v>
      </c>
      <c r="F7" s="70" t="n">
        <f aca="false">COUNTIFS('Sub-task Tracker'!L4:L50,"Sprint 4",'Sub-task Tracker'!H4:H50,"In Progress")</f>
        <v>0</v>
      </c>
      <c r="G7" s="70" t="n">
        <f aca="false">COUNTIFS('Sub-task Tracker'!L4:L50,"Sprint 4",'Sub-task Tracker'!H4:H50,"Not Started")</f>
        <v>8</v>
      </c>
      <c r="H7" s="62" t="n">
        <f aca="false">IF(8=0,0,E7/8)</f>
        <v>0</v>
      </c>
    </row>
    <row r="8" customFormat="false" ht="31.5" hidden="false" customHeight="true" outlineLevel="0" collapsed="false">
      <c r="A8" s="32" t="s">
        <v>61</v>
      </c>
      <c r="B8" s="71" t="s">
        <v>201</v>
      </c>
      <c r="C8" s="33" t="n">
        <v>2</v>
      </c>
      <c r="D8" s="33" t="n">
        <v>10</v>
      </c>
      <c r="E8" s="72" t="n">
        <f aca="false">COUNTIFS('Sub-task Tracker'!L4:L50,"Sprint 5",'Sub-task Tracker'!H4:H50,"Done")</f>
        <v>0</v>
      </c>
      <c r="F8" s="72" t="n">
        <f aca="false">COUNTIFS('Sub-task Tracker'!L4:L50,"Sprint 5",'Sub-task Tracker'!H4:H50,"In Progress")</f>
        <v>0</v>
      </c>
      <c r="G8" s="72" t="n">
        <f aca="false">COUNTIFS('Sub-task Tracker'!L4:L50,"Sprint 5",'Sub-task Tracker'!H4:H50,"Not Started")</f>
        <v>10</v>
      </c>
      <c r="H8" s="62" t="n">
        <f aca="false">IF(10=0,0,E8/10)</f>
        <v>0</v>
      </c>
    </row>
    <row r="9" customFormat="false" ht="31.5" hidden="false" customHeight="true" outlineLevel="0" collapsed="false">
      <c r="A9" s="40" t="s">
        <v>75</v>
      </c>
      <c r="B9" s="73" t="s">
        <v>202</v>
      </c>
      <c r="C9" s="41" t="n">
        <v>2</v>
      </c>
      <c r="D9" s="41" t="n">
        <v>8</v>
      </c>
      <c r="E9" s="74" t="n">
        <f aca="false">COUNTIFS('Sub-task Tracker'!L4:L50,"Sprint 6",'Sub-task Tracker'!H4:H50,"Done")</f>
        <v>0</v>
      </c>
      <c r="F9" s="74" t="n">
        <f aca="false">COUNTIFS('Sub-task Tracker'!L4:L50,"Sprint 6",'Sub-task Tracker'!H4:H50,"In Progress")</f>
        <v>0</v>
      </c>
      <c r="G9" s="74" t="n">
        <f aca="false">COUNTIFS('Sub-task Tracker'!L4:L50,"Sprint 6",'Sub-task Tracker'!H4:H50,"Not Started")</f>
        <v>8</v>
      </c>
      <c r="H9" s="62" t="n">
        <f aca="false">IF(8=0,0,E9/8)</f>
        <v>0</v>
      </c>
    </row>
    <row r="12" customFormat="false" ht="16.15" hidden="false" customHeight="false" outlineLevel="0" collapsed="false">
      <c r="A12" s="75" t="s">
        <v>203</v>
      </c>
      <c r="B12" s="75"/>
      <c r="C12" s="75"/>
      <c r="D12" s="76" t="n">
        <v>47</v>
      </c>
      <c r="E12" s="3" t="n">
        <f aca="false">COUNTIF('Sub-task Tracker'!H4:H50,"Done")</f>
        <v>0</v>
      </c>
      <c r="F12" s="3" t="n">
        <f aca="false">COUNTIF('Sub-task Tracker'!H4:H50,"In Progress")</f>
        <v>0</v>
      </c>
      <c r="G12" s="3" t="n">
        <f aca="false">COUNTIF('Sub-task Tracker'!H4:H50,"Not Started")</f>
        <v>47</v>
      </c>
      <c r="H12" s="77" t="n">
        <f aca="false">IF(47=0,0,E12/47)</f>
        <v>0</v>
      </c>
    </row>
    <row r="15" customFormat="false" ht="27.75" hidden="false" customHeight="true" outlineLevel="0" collapsed="false">
      <c r="A15" s="78" t="s">
        <v>204</v>
      </c>
      <c r="B15" s="78"/>
      <c r="C15" s="78"/>
      <c r="D15" s="78"/>
      <c r="E15" s="78"/>
      <c r="F15" s="78"/>
      <c r="G15" s="78"/>
      <c r="H15" s="78"/>
    </row>
    <row r="16" customFormat="false" ht="15" hidden="false" customHeight="false" outlineLevel="0" collapsed="false">
      <c r="A16" s="10" t="s">
        <v>1</v>
      </c>
      <c r="B16" s="10" t="s">
        <v>2</v>
      </c>
      <c r="C16" s="10" t="s">
        <v>205</v>
      </c>
      <c r="D16" s="10" t="s">
        <v>206</v>
      </c>
      <c r="E16" s="10" t="s">
        <v>195</v>
      </c>
      <c r="F16" s="10" t="s">
        <v>196</v>
      </c>
      <c r="G16" s="10" t="s">
        <v>20</v>
      </c>
      <c r="H16" s="10" t="s">
        <v>11</v>
      </c>
    </row>
    <row r="17" customFormat="false" ht="27.75" hidden="false" customHeight="true" outlineLevel="0" collapsed="false">
      <c r="A17" s="3" t="s">
        <v>12</v>
      </c>
      <c r="B17" s="6" t="s">
        <v>13</v>
      </c>
      <c r="C17" s="8" t="n">
        <v>2</v>
      </c>
      <c r="D17" s="8" t="n">
        <v>7</v>
      </c>
      <c r="E17" s="61" t="n">
        <f aca="false">COUNTIFS('Sub-task Tracker'!B4:B50,"E1",'Sub-task Tracker'!H4:H50,"Done")</f>
        <v>0</v>
      </c>
      <c r="F17" s="61" t="n">
        <f aca="false">COUNTIFS('Sub-task Tracker'!B4:B50,"E1",'Sub-task Tracker'!H4:H50,"In Progress")</f>
        <v>0</v>
      </c>
      <c r="G17" s="61" t="n">
        <f aca="false">COUNTIFS('Sub-task Tracker'!B4:B50,"E1",'Sub-task Tracker'!H4:H50,"Not Started")</f>
        <v>7</v>
      </c>
      <c r="H17" s="79" t="n">
        <f aca="false">IF(7=0,0,E17/7)</f>
        <v>0</v>
      </c>
    </row>
    <row r="18" customFormat="false" ht="27.75" hidden="false" customHeight="true" outlineLevel="0" collapsed="false">
      <c r="A18" s="10" t="s">
        <v>25</v>
      </c>
      <c r="B18" s="13" t="s">
        <v>26</v>
      </c>
      <c r="C18" s="15" t="n">
        <v>2</v>
      </c>
      <c r="D18" s="15" t="n">
        <v>9</v>
      </c>
      <c r="E18" s="64" t="n">
        <f aca="false">COUNTIFS('Sub-task Tracker'!B4:B50,"E2",'Sub-task Tracker'!H4:H50,"Done")</f>
        <v>0</v>
      </c>
      <c r="F18" s="64" t="n">
        <f aca="false">COUNTIFS('Sub-task Tracker'!B4:B50,"E2",'Sub-task Tracker'!H4:H50,"In Progress")</f>
        <v>0</v>
      </c>
      <c r="G18" s="64" t="n">
        <f aca="false">COUNTIFS('Sub-task Tracker'!B4:B50,"E2",'Sub-task Tracker'!H4:H50,"Not Started")</f>
        <v>9</v>
      </c>
      <c r="H18" s="80" t="n">
        <f aca="false">IF(9=0,0,E18/9)</f>
        <v>0</v>
      </c>
    </row>
    <row r="19" customFormat="false" ht="27.75" hidden="false" customHeight="true" outlineLevel="0" collapsed="false">
      <c r="A19" s="16" t="s">
        <v>36</v>
      </c>
      <c r="B19" s="19" t="s">
        <v>37</v>
      </c>
      <c r="C19" s="21" t="n">
        <v>1</v>
      </c>
      <c r="D19" s="21" t="n">
        <v>5</v>
      </c>
      <c r="E19" s="81" t="n">
        <f aca="false">COUNTIFS('Sub-task Tracker'!B4:B50,"E3",'Sub-task Tracker'!H4:H50,"Done")</f>
        <v>0</v>
      </c>
      <c r="F19" s="81" t="n">
        <f aca="false">COUNTIFS('Sub-task Tracker'!B4:B50,"E3",'Sub-task Tracker'!H4:H50,"In Progress")</f>
        <v>0</v>
      </c>
      <c r="G19" s="81" t="n">
        <f aca="false">COUNTIFS('Sub-task Tracker'!B4:B50,"E3",'Sub-task Tracker'!H4:H50,"Not Started")</f>
        <v>5</v>
      </c>
      <c r="H19" s="82" t="n">
        <f aca="false">IF(5=0,0,E19/5)</f>
        <v>0</v>
      </c>
    </row>
    <row r="20" customFormat="false" ht="27.75" hidden="false" customHeight="true" outlineLevel="0" collapsed="false">
      <c r="A20" s="22" t="s">
        <v>43</v>
      </c>
      <c r="B20" s="25" t="s">
        <v>44</v>
      </c>
      <c r="C20" s="27" t="n">
        <v>2</v>
      </c>
      <c r="D20" s="27" t="n">
        <v>8</v>
      </c>
      <c r="E20" s="70" t="n">
        <f aca="false">COUNTIFS('Sub-task Tracker'!B4:B50,"E4",'Sub-task Tracker'!H4:H50,"Done")</f>
        <v>0</v>
      </c>
      <c r="F20" s="70" t="n">
        <f aca="false">COUNTIFS('Sub-task Tracker'!B4:B50,"E4",'Sub-task Tracker'!H4:H50,"In Progress")</f>
        <v>0</v>
      </c>
      <c r="G20" s="70" t="n">
        <f aca="false">COUNTIFS('Sub-task Tracker'!B4:B50,"E4",'Sub-task Tracker'!H4:H50,"Not Started")</f>
        <v>8</v>
      </c>
      <c r="H20" s="83" t="n">
        <f aca="false">IF(8=0,0,E20/8)</f>
        <v>0</v>
      </c>
    </row>
    <row r="21" customFormat="false" ht="27.75" hidden="false" customHeight="true" outlineLevel="0" collapsed="false">
      <c r="A21" s="28" t="s">
        <v>55</v>
      </c>
      <c r="B21" s="31" t="s">
        <v>56</v>
      </c>
      <c r="C21" s="33" t="n">
        <v>1</v>
      </c>
      <c r="D21" s="33" t="n">
        <v>5</v>
      </c>
      <c r="E21" s="72" t="n">
        <f aca="false">COUNTIFS('Sub-task Tracker'!B4:B50,"E5",'Sub-task Tracker'!H4:H50,"Done")</f>
        <v>0</v>
      </c>
      <c r="F21" s="72" t="n">
        <f aca="false">COUNTIFS('Sub-task Tracker'!B4:B50,"E5",'Sub-task Tracker'!H4:H50,"In Progress")</f>
        <v>0</v>
      </c>
      <c r="G21" s="72" t="n">
        <f aca="false">COUNTIFS('Sub-task Tracker'!B4:B50,"E5",'Sub-task Tracker'!H4:H50,"Not Started")</f>
        <v>5</v>
      </c>
      <c r="H21" s="84" t="n">
        <f aca="false">IF(5=0,0,E21/5)</f>
        <v>0</v>
      </c>
    </row>
    <row r="22" customFormat="false" ht="27.75" hidden="false" customHeight="true" outlineLevel="0" collapsed="false">
      <c r="A22" s="34" t="s">
        <v>62</v>
      </c>
      <c r="B22" s="13" t="s">
        <v>63</v>
      </c>
      <c r="C22" s="15" t="n">
        <v>1</v>
      </c>
      <c r="D22" s="15" t="n">
        <v>5</v>
      </c>
      <c r="E22" s="64" t="n">
        <f aca="false">COUNTIFS('Sub-task Tracker'!B4:B50,"E6",'Sub-task Tracker'!H4:H50,"Done")</f>
        <v>0</v>
      </c>
      <c r="F22" s="64" t="n">
        <f aca="false">COUNTIFS('Sub-task Tracker'!B4:B50,"E6",'Sub-task Tracker'!H4:H50,"In Progress")</f>
        <v>0</v>
      </c>
      <c r="G22" s="64" t="n">
        <f aca="false">COUNTIFS('Sub-task Tracker'!B4:B50,"E6",'Sub-task Tracker'!H4:H50,"Not Started")</f>
        <v>5</v>
      </c>
      <c r="H22" s="62" t="n">
        <f aca="false">IF(5=0,0,E22/5)</f>
        <v>0</v>
      </c>
    </row>
    <row r="23" customFormat="false" ht="27.75" hidden="false" customHeight="true" outlineLevel="0" collapsed="false">
      <c r="A23" s="36" t="s">
        <v>68</v>
      </c>
      <c r="B23" s="39" t="s">
        <v>69</v>
      </c>
      <c r="C23" s="41" t="n">
        <v>2</v>
      </c>
      <c r="D23" s="41" t="n">
        <v>8</v>
      </c>
      <c r="E23" s="74" t="n">
        <f aca="false">COUNTIFS('Sub-task Tracker'!B4:B50,"E7",'Sub-task Tracker'!H4:H50,"Done")</f>
        <v>0</v>
      </c>
      <c r="F23" s="74" t="n">
        <f aca="false">COUNTIFS('Sub-task Tracker'!B4:B50,"E7",'Sub-task Tracker'!H4:H50,"In Progress")</f>
        <v>0</v>
      </c>
      <c r="G23" s="74" t="n">
        <f aca="false">COUNTIFS('Sub-task Tracker'!B4:B50,"E7",'Sub-task Tracker'!H4:H50,"Not Started")</f>
        <v>8</v>
      </c>
      <c r="H23" s="85" t="n">
        <f aca="false">IF(8=0,0,E23/8)</f>
        <v>0</v>
      </c>
    </row>
  </sheetData>
  <mergeCells count="3">
    <mergeCell ref="A1:H1"/>
    <mergeCell ref="A12:C1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22"/>
    <col collapsed="false" customWidth="true" hidden="false" outlineLevel="0" max="5" min="5" style="0" width="35"/>
  </cols>
  <sheetData>
    <row r="1" customFormat="false" ht="31.5" hidden="false" customHeight="true" outlineLevel="0" collapsed="false">
      <c r="A1" s="86" t="s">
        <v>207</v>
      </c>
      <c r="B1" s="86"/>
      <c r="C1" s="86"/>
      <c r="D1" s="86"/>
      <c r="E1" s="86"/>
    </row>
    <row r="2" customFormat="false" ht="21.75" hidden="false" customHeight="true" outlineLevel="0" collapsed="false">
      <c r="A2" s="87" t="s">
        <v>208</v>
      </c>
      <c r="B2" s="87" t="s">
        <v>209</v>
      </c>
      <c r="C2" s="87" t="s">
        <v>210</v>
      </c>
      <c r="D2" s="87" t="s">
        <v>211</v>
      </c>
      <c r="E2" s="87" t="s">
        <v>212</v>
      </c>
    </row>
    <row r="3" customFormat="false" ht="27.75" hidden="false" customHeight="true" outlineLevel="0" collapsed="false">
      <c r="A3" s="88" t="s">
        <v>213</v>
      </c>
      <c r="B3" s="88" t="s">
        <v>214</v>
      </c>
      <c r="C3" s="88" t="s">
        <v>215</v>
      </c>
      <c r="D3" s="88" t="s">
        <v>216</v>
      </c>
      <c r="E3" s="88" t="s">
        <v>217</v>
      </c>
    </row>
    <row r="4" customFormat="false" ht="27.75" hidden="false" customHeight="true" outlineLevel="0" collapsed="false">
      <c r="A4" s="89" t="s">
        <v>218</v>
      </c>
      <c r="B4" s="89" t="s">
        <v>214</v>
      </c>
      <c r="C4" s="89" t="s">
        <v>219</v>
      </c>
      <c r="D4" s="89" t="s">
        <v>216</v>
      </c>
      <c r="E4" s="89" t="s">
        <v>220</v>
      </c>
    </row>
    <row r="5" customFormat="false" ht="27.75" hidden="false" customHeight="true" outlineLevel="0" collapsed="false">
      <c r="A5" s="90" t="s">
        <v>221</v>
      </c>
      <c r="B5" s="90" t="s">
        <v>222</v>
      </c>
      <c r="C5" s="90" t="s">
        <v>223</v>
      </c>
      <c r="D5" s="90" t="s">
        <v>12</v>
      </c>
      <c r="E5" s="90" t="s">
        <v>224</v>
      </c>
    </row>
    <row r="6" customFormat="false" ht="27.75" hidden="false" customHeight="true" outlineLevel="0" collapsed="false">
      <c r="A6" s="91" t="s">
        <v>225</v>
      </c>
      <c r="B6" s="91" t="s">
        <v>222</v>
      </c>
      <c r="C6" s="91" t="s">
        <v>226</v>
      </c>
      <c r="D6" s="91" t="s">
        <v>227</v>
      </c>
      <c r="E6" s="91" t="s">
        <v>228</v>
      </c>
    </row>
    <row r="7" customFormat="false" ht="27.75" hidden="false" customHeight="true" outlineLevel="0" collapsed="false">
      <c r="A7" s="92" t="s">
        <v>229</v>
      </c>
      <c r="B7" s="92" t="s">
        <v>230</v>
      </c>
      <c r="C7" s="92" t="s">
        <v>231</v>
      </c>
      <c r="D7" s="92" t="s">
        <v>232</v>
      </c>
      <c r="E7" s="92" t="s">
        <v>233</v>
      </c>
    </row>
    <row r="8" customFormat="false" ht="27.75" hidden="false" customHeight="true" outlineLevel="0" collapsed="false">
      <c r="A8" s="93" t="s">
        <v>234</v>
      </c>
      <c r="B8" s="93" t="s">
        <v>235</v>
      </c>
      <c r="C8" s="93" t="s">
        <v>236</v>
      </c>
      <c r="D8" s="93" t="s">
        <v>36</v>
      </c>
      <c r="E8" s="93" t="s">
        <v>237</v>
      </c>
    </row>
    <row r="9" customFormat="false" ht="27.75" hidden="false" customHeight="true" outlineLevel="0" collapsed="false">
      <c r="A9" s="88" t="s">
        <v>238</v>
      </c>
      <c r="B9" s="88" t="s">
        <v>239</v>
      </c>
      <c r="C9" s="88" t="s">
        <v>240</v>
      </c>
      <c r="D9" s="88" t="s">
        <v>241</v>
      </c>
      <c r="E9" s="88" t="s">
        <v>242</v>
      </c>
    </row>
    <row r="10" customFormat="false" ht="27.75" hidden="false" customHeight="true" outlineLevel="0" collapsed="false">
      <c r="A10" s="89" t="s">
        <v>243</v>
      </c>
      <c r="B10" s="89" t="s">
        <v>244</v>
      </c>
      <c r="C10" s="89" t="s">
        <v>245</v>
      </c>
      <c r="D10" s="89" t="s">
        <v>246</v>
      </c>
      <c r="E10" s="89" t="s">
        <v>247</v>
      </c>
    </row>
    <row r="11" customFormat="false" ht="27.75" hidden="false" customHeight="true" outlineLevel="0" collapsed="false">
      <c r="A11" s="90" t="s">
        <v>248</v>
      </c>
      <c r="B11" s="90" t="s">
        <v>249</v>
      </c>
      <c r="C11" s="90" t="s">
        <v>250</v>
      </c>
      <c r="D11" s="90" t="s">
        <v>251</v>
      </c>
      <c r="E11" s="90" t="s">
        <v>252</v>
      </c>
    </row>
    <row r="12" customFormat="false" ht="27.75" hidden="false" customHeight="true" outlineLevel="0" collapsed="false">
      <c r="A12" s="91" t="s">
        <v>253</v>
      </c>
      <c r="B12" s="91" t="s">
        <v>254</v>
      </c>
      <c r="C12" s="91" t="s">
        <v>255</v>
      </c>
      <c r="D12" s="91" t="s">
        <v>43</v>
      </c>
      <c r="E12" s="91" t="s">
        <v>256</v>
      </c>
    </row>
    <row r="13" customFormat="false" ht="27.75" hidden="false" customHeight="true" outlineLevel="0" collapsed="false">
      <c r="A13" s="92" t="s">
        <v>257</v>
      </c>
      <c r="B13" s="92" t="s">
        <v>258</v>
      </c>
      <c r="C13" s="92" t="s">
        <v>259</v>
      </c>
      <c r="D13" s="92" t="s">
        <v>62</v>
      </c>
      <c r="E13" s="92" t="s">
        <v>260</v>
      </c>
    </row>
    <row r="14" customFormat="false" ht="27.75" hidden="false" customHeight="true" outlineLevel="0" collapsed="false">
      <c r="A14" s="93" t="s">
        <v>261</v>
      </c>
      <c r="B14" s="93" t="s">
        <v>258</v>
      </c>
      <c r="C14" s="93" t="s">
        <v>262</v>
      </c>
      <c r="D14" s="93" t="s">
        <v>62</v>
      </c>
      <c r="E14" s="93" t="s">
        <v>263</v>
      </c>
    </row>
    <row r="15" customFormat="false" ht="27.75" hidden="false" customHeight="true" outlineLevel="0" collapsed="false">
      <c r="A15" s="88" t="s">
        <v>264</v>
      </c>
      <c r="B15" s="88" t="s">
        <v>265</v>
      </c>
      <c r="C15" s="88" t="s">
        <v>266</v>
      </c>
      <c r="D15" s="88" t="s">
        <v>267</v>
      </c>
      <c r="E15" s="88" t="s">
        <v>268</v>
      </c>
    </row>
    <row r="16" customFormat="false" ht="27.75" hidden="false" customHeight="true" outlineLevel="0" collapsed="false">
      <c r="A16" s="89" t="s">
        <v>269</v>
      </c>
      <c r="B16" s="89" t="s">
        <v>270</v>
      </c>
      <c r="C16" s="89" t="s">
        <v>271</v>
      </c>
      <c r="D16" s="89" t="s">
        <v>68</v>
      </c>
      <c r="E16" s="89" t="s">
        <v>272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31.5" hidden="false" customHeight="true" outlineLevel="0" collapsed="false">
      <c r="A1" s="86" t="s">
        <v>273</v>
      </c>
      <c r="B1" s="86"/>
      <c r="C1" s="86"/>
      <c r="D1" s="86"/>
      <c r="E1" s="86"/>
      <c r="F1" s="86"/>
    </row>
    <row r="2" customFormat="false" ht="21.75" hidden="false" customHeight="true" outlineLevel="0" collapsed="false">
      <c r="A2" s="87" t="s">
        <v>209</v>
      </c>
      <c r="B2" s="87" t="s">
        <v>274</v>
      </c>
      <c r="C2" s="87" t="s">
        <v>275</v>
      </c>
      <c r="D2" s="87" t="s">
        <v>276</v>
      </c>
      <c r="E2" s="87" t="s">
        <v>277</v>
      </c>
      <c r="F2" s="87" t="s">
        <v>278</v>
      </c>
    </row>
    <row r="3" customFormat="false" ht="25.5" hidden="false" customHeight="true" outlineLevel="0" collapsed="false">
      <c r="A3" s="94" t="s">
        <v>279</v>
      </c>
      <c r="B3" s="88" t="s">
        <v>280</v>
      </c>
      <c r="C3" s="88" t="s">
        <v>281</v>
      </c>
      <c r="D3" s="88" t="s">
        <v>282</v>
      </c>
      <c r="E3" s="88" t="s">
        <v>283</v>
      </c>
      <c r="F3" s="88" t="s">
        <v>284</v>
      </c>
    </row>
    <row r="4" customFormat="false" ht="25.5" hidden="false" customHeight="true" outlineLevel="0" collapsed="false">
      <c r="A4" s="88" t="s">
        <v>279</v>
      </c>
      <c r="B4" s="88" t="s">
        <v>285</v>
      </c>
      <c r="C4" s="88" t="s">
        <v>286</v>
      </c>
      <c r="D4" s="88" t="s">
        <v>287</v>
      </c>
      <c r="E4" s="88" t="s">
        <v>283</v>
      </c>
      <c r="F4" s="88" t="s">
        <v>288</v>
      </c>
    </row>
    <row r="5" customFormat="false" ht="25.5" hidden="false" customHeight="true" outlineLevel="0" collapsed="false">
      <c r="A5" s="88" t="s">
        <v>279</v>
      </c>
      <c r="B5" s="88" t="s">
        <v>289</v>
      </c>
      <c r="C5" s="88" t="s">
        <v>290</v>
      </c>
      <c r="D5" s="88" t="s">
        <v>291</v>
      </c>
      <c r="E5" s="88" t="s">
        <v>283</v>
      </c>
      <c r="F5" s="88" t="s">
        <v>288</v>
      </c>
    </row>
    <row r="6" customFormat="false" ht="25.5" hidden="false" customHeight="true" outlineLevel="0" collapsed="false">
      <c r="A6" s="88" t="s">
        <v>279</v>
      </c>
      <c r="B6" s="88" t="s">
        <v>292</v>
      </c>
      <c r="C6" s="88" t="s">
        <v>293</v>
      </c>
      <c r="D6" s="88" t="s">
        <v>294</v>
      </c>
      <c r="E6" s="88" t="s">
        <v>283</v>
      </c>
      <c r="F6" s="88" t="s">
        <v>288</v>
      </c>
    </row>
    <row r="7" customFormat="false" ht="25.5" hidden="false" customHeight="true" outlineLevel="0" collapsed="false">
      <c r="A7" s="95" t="s">
        <v>295</v>
      </c>
      <c r="B7" s="89" t="s">
        <v>296</v>
      </c>
      <c r="C7" s="89" t="s">
        <v>297</v>
      </c>
      <c r="D7" s="89" t="s">
        <v>298</v>
      </c>
      <c r="E7" s="89" t="s">
        <v>299</v>
      </c>
      <c r="F7" s="89" t="s">
        <v>288</v>
      </c>
    </row>
    <row r="8" customFormat="false" ht="25.5" hidden="false" customHeight="true" outlineLevel="0" collapsed="false">
      <c r="A8" s="89" t="s">
        <v>295</v>
      </c>
      <c r="B8" s="89" t="s">
        <v>300</v>
      </c>
      <c r="C8" s="89" t="s">
        <v>301</v>
      </c>
      <c r="D8" s="89" t="s">
        <v>302</v>
      </c>
      <c r="E8" s="89" t="s">
        <v>283</v>
      </c>
      <c r="F8" s="89" t="s">
        <v>288</v>
      </c>
    </row>
    <row r="9" customFormat="false" ht="25.5" hidden="false" customHeight="true" outlineLevel="0" collapsed="false">
      <c r="A9" s="89" t="s">
        <v>295</v>
      </c>
      <c r="B9" s="89" t="s">
        <v>303</v>
      </c>
      <c r="C9" s="89" t="s">
        <v>304</v>
      </c>
      <c r="D9" s="89" t="s">
        <v>305</v>
      </c>
      <c r="E9" s="89" t="s">
        <v>306</v>
      </c>
      <c r="F9" s="89" t="s">
        <v>288</v>
      </c>
    </row>
    <row r="10" customFormat="false" ht="25.5" hidden="false" customHeight="true" outlineLevel="0" collapsed="false">
      <c r="A10" s="89" t="s">
        <v>295</v>
      </c>
      <c r="B10" s="89" t="s">
        <v>307</v>
      </c>
      <c r="C10" s="89" t="s">
        <v>308</v>
      </c>
      <c r="D10" s="89" t="s">
        <v>309</v>
      </c>
      <c r="E10" s="89" t="s">
        <v>299</v>
      </c>
      <c r="F10" s="89" t="s">
        <v>288</v>
      </c>
    </row>
    <row r="11" customFormat="false" ht="25.5" hidden="false" customHeight="true" outlineLevel="0" collapsed="false">
      <c r="A11" s="96" t="s">
        <v>310</v>
      </c>
      <c r="B11" s="90" t="s">
        <v>311</v>
      </c>
      <c r="C11" s="90" t="s">
        <v>312</v>
      </c>
      <c r="D11" s="90" t="s">
        <v>313</v>
      </c>
      <c r="E11" s="90" t="s">
        <v>306</v>
      </c>
      <c r="F11" s="90" t="s">
        <v>314</v>
      </c>
    </row>
    <row r="12" customFormat="false" ht="25.5" hidden="false" customHeight="true" outlineLevel="0" collapsed="false">
      <c r="A12" s="90" t="s">
        <v>310</v>
      </c>
      <c r="B12" s="90" t="s">
        <v>315</v>
      </c>
      <c r="C12" s="90" t="s">
        <v>316</v>
      </c>
      <c r="D12" s="90" t="s">
        <v>317</v>
      </c>
      <c r="E12" s="90" t="s">
        <v>306</v>
      </c>
      <c r="F12" s="90" t="s">
        <v>314</v>
      </c>
    </row>
    <row r="13" customFormat="false" ht="25.5" hidden="false" customHeight="true" outlineLevel="0" collapsed="false">
      <c r="A13" s="90" t="s">
        <v>310</v>
      </c>
      <c r="B13" s="90" t="s">
        <v>318</v>
      </c>
      <c r="C13" s="90" t="s">
        <v>319</v>
      </c>
      <c r="D13" s="90" t="s">
        <v>320</v>
      </c>
      <c r="E13" s="90" t="s">
        <v>306</v>
      </c>
      <c r="F13" s="90" t="s">
        <v>314</v>
      </c>
    </row>
    <row r="14" customFormat="false" ht="25.5" hidden="false" customHeight="true" outlineLevel="0" collapsed="false">
      <c r="A14" s="90" t="s">
        <v>310</v>
      </c>
      <c r="B14" s="90" t="s">
        <v>321</v>
      </c>
      <c r="C14" s="90" t="s">
        <v>322</v>
      </c>
      <c r="D14" s="90" t="s">
        <v>323</v>
      </c>
      <c r="E14" s="90" t="s">
        <v>306</v>
      </c>
      <c r="F14" s="90" t="s">
        <v>314</v>
      </c>
    </row>
    <row r="15" customFormat="false" ht="25.5" hidden="false" customHeight="true" outlineLevel="0" collapsed="false">
      <c r="A15" s="97" t="s">
        <v>324</v>
      </c>
      <c r="B15" s="91" t="s">
        <v>325</v>
      </c>
      <c r="C15" s="91" t="s">
        <v>326</v>
      </c>
      <c r="D15" s="91" t="s">
        <v>327</v>
      </c>
      <c r="E15" s="91" t="s">
        <v>328</v>
      </c>
      <c r="F15" s="91" t="s">
        <v>284</v>
      </c>
    </row>
    <row r="16" customFormat="false" ht="25.5" hidden="false" customHeight="true" outlineLevel="0" collapsed="false">
      <c r="A16" s="91" t="s">
        <v>324</v>
      </c>
      <c r="B16" s="91" t="s">
        <v>329</v>
      </c>
      <c r="C16" s="91" t="s">
        <v>330</v>
      </c>
      <c r="D16" s="91" t="s">
        <v>331</v>
      </c>
      <c r="E16" s="91" t="s">
        <v>328</v>
      </c>
      <c r="F16" s="91" t="s">
        <v>284</v>
      </c>
    </row>
    <row r="17" customFormat="false" ht="25.5" hidden="false" customHeight="true" outlineLevel="0" collapsed="false">
      <c r="A17" s="91" t="s">
        <v>324</v>
      </c>
      <c r="B17" s="91" t="s">
        <v>332</v>
      </c>
      <c r="C17" s="91" t="s">
        <v>333</v>
      </c>
      <c r="D17" s="91" t="s">
        <v>334</v>
      </c>
      <c r="E17" s="91" t="s">
        <v>306</v>
      </c>
      <c r="F17" s="91" t="s">
        <v>288</v>
      </c>
    </row>
    <row r="18" customFormat="false" ht="25.5" hidden="false" customHeight="true" outlineLevel="0" collapsed="false">
      <c r="A18" s="98" t="s">
        <v>335</v>
      </c>
      <c r="B18" s="92" t="s">
        <v>336</v>
      </c>
      <c r="C18" s="92" t="s">
        <v>337</v>
      </c>
      <c r="D18" s="92" t="s">
        <v>338</v>
      </c>
      <c r="E18" s="92" t="s">
        <v>283</v>
      </c>
      <c r="F18" s="92" t="s">
        <v>339</v>
      </c>
    </row>
    <row r="19" customFormat="false" ht="25.5" hidden="false" customHeight="true" outlineLevel="0" collapsed="false">
      <c r="A19" s="92" t="s">
        <v>335</v>
      </c>
      <c r="B19" s="92" t="s">
        <v>340</v>
      </c>
      <c r="C19" s="92" t="s">
        <v>341</v>
      </c>
      <c r="D19" s="92" t="s">
        <v>338</v>
      </c>
      <c r="E19" s="92" t="s">
        <v>306</v>
      </c>
      <c r="F19" s="92" t="s">
        <v>339</v>
      </c>
    </row>
    <row r="20" customFormat="false" ht="25.5" hidden="false" customHeight="true" outlineLevel="0" collapsed="false">
      <c r="A20" s="92" t="s">
        <v>335</v>
      </c>
      <c r="B20" s="92" t="s">
        <v>342</v>
      </c>
      <c r="C20" s="92" t="s">
        <v>343</v>
      </c>
      <c r="D20" s="92" t="s">
        <v>344</v>
      </c>
      <c r="E20" s="92" t="s">
        <v>328</v>
      </c>
      <c r="F20" s="92" t="s">
        <v>339</v>
      </c>
    </row>
    <row r="21" customFormat="false" ht="25.5" hidden="false" customHeight="true" outlineLevel="0" collapsed="false">
      <c r="A21" s="99" t="s">
        <v>345</v>
      </c>
      <c r="B21" s="93" t="s">
        <v>346</v>
      </c>
      <c r="C21" s="93" t="s">
        <v>347</v>
      </c>
      <c r="D21" s="93" t="s">
        <v>323</v>
      </c>
      <c r="E21" s="93" t="s">
        <v>283</v>
      </c>
      <c r="F21" s="93" t="s">
        <v>348</v>
      </c>
    </row>
    <row r="22" customFormat="false" ht="25.5" hidden="false" customHeight="true" outlineLevel="0" collapsed="false">
      <c r="A22" s="93" t="s">
        <v>345</v>
      </c>
      <c r="B22" s="93" t="s">
        <v>349</v>
      </c>
      <c r="C22" s="93" t="s">
        <v>350</v>
      </c>
      <c r="D22" s="93" t="s">
        <v>351</v>
      </c>
      <c r="E22" s="93" t="s">
        <v>283</v>
      </c>
      <c r="F22" s="93" t="s">
        <v>348</v>
      </c>
    </row>
    <row r="23" customFormat="false" ht="25.5" hidden="false" customHeight="true" outlineLevel="0" collapsed="false">
      <c r="A23" s="93" t="s">
        <v>345</v>
      </c>
      <c r="B23" s="93" t="s">
        <v>352</v>
      </c>
      <c r="C23" s="93" t="s">
        <v>353</v>
      </c>
      <c r="D23" s="93" t="s">
        <v>354</v>
      </c>
      <c r="E23" s="93" t="s">
        <v>328</v>
      </c>
      <c r="F23" s="93" t="s">
        <v>348</v>
      </c>
    </row>
    <row r="24" customFormat="false" ht="25.5" hidden="false" customHeight="true" outlineLevel="0" collapsed="false">
      <c r="A24" s="93" t="s">
        <v>345</v>
      </c>
      <c r="B24" s="93" t="s">
        <v>355</v>
      </c>
      <c r="C24" s="93" t="s">
        <v>356</v>
      </c>
      <c r="D24" s="93" t="s">
        <v>357</v>
      </c>
      <c r="E24" s="93" t="s">
        <v>328</v>
      </c>
      <c r="F24" s="93" t="s">
        <v>284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48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38"/>
  </cols>
  <sheetData>
    <row r="1" customFormat="false" ht="31.5" hidden="false" customHeight="true" outlineLevel="0" collapsed="false">
      <c r="A1" s="86" t="s">
        <v>358</v>
      </c>
      <c r="B1" s="86"/>
      <c r="C1" s="86"/>
      <c r="D1" s="86"/>
      <c r="E1" s="86"/>
      <c r="F1" s="86"/>
    </row>
    <row r="2" customFormat="false" ht="21.75" hidden="false" customHeight="true" outlineLevel="0" collapsed="false">
      <c r="A2" s="87" t="s">
        <v>359</v>
      </c>
      <c r="B2" s="87" t="s">
        <v>360</v>
      </c>
      <c r="C2" s="87" t="s">
        <v>361</v>
      </c>
      <c r="D2" s="87" t="s">
        <v>362</v>
      </c>
      <c r="E2" s="87" t="s">
        <v>363</v>
      </c>
      <c r="F2" s="87" t="s">
        <v>364</v>
      </c>
    </row>
    <row r="3" customFormat="false" ht="69.75" hidden="false" customHeight="true" outlineLevel="0" collapsed="false">
      <c r="A3" s="94" t="s">
        <v>365</v>
      </c>
      <c r="B3" s="88" t="s">
        <v>366</v>
      </c>
      <c r="C3" s="88" t="s">
        <v>367</v>
      </c>
      <c r="D3" s="88" t="s">
        <v>368</v>
      </c>
      <c r="E3" s="88" t="s">
        <v>369</v>
      </c>
      <c r="F3" s="88" t="s">
        <v>370</v>
      </c>
    </row>
    <row r="4" customFormat="false" ht="69.75" hidden="false" customHeight="true" outlineLevel="0" collapsed="false">
      <c r="A4" s="95" t="s">
        <v>371</v>
      </c>
      <c r="B4" s="89" t="s">
        <v>372</v>
      </c>
      <c r="C4" s="89" t="s">
        <v>373</v>
      </c>
      <c r="D4" s="89" t="s">
        <v>374</v>
      </c>
      <c r="E4" s="89" t="s">
        <v>375</v>
      </c>
      <c r="F4" s="89" t="s">
        <v>376</v>
      </c>
    </row>
    <row r="5" customFormat="false" ht="69.75" hidden="false" customHeight="true" outlineLevel="0" collapsed="false">
      <c r="A5" s="96" t="s">
        <v>288</v>
      </c>
      <c r="B5" s="90" t="s">
        <v>377</v>
      </c>
      <c r="C5" s="90" t="s">
        <v>378</v>
      </c>
      <c r="D5" s="90" t="s">
        <v>379</v>
      </c>
      <c r="E5" s="90" t="s">
        <v>380</v>
      </c>
      <c r="F5" s="90" t="s">
        <v>381</v>
      </c>
    </row>
    <row r="6" customFormat="false" ht="69.75" hidden="false" customHeight="true" outlineLevel="0" collapsed="false">
      <c r="A6" s="97" t="s">
        <v>382</v>
      </c>
      <c r="B6" s="91" t="s">
        <v>383</v>
      </c>
      <c r="C6" s="91" t="s">
        <v>384</v>
      </c>
      <c r="D6" s="91" t="s">
        <v>385</v>
      </c>
      <c r="E6" s="91" t="s">
        <v>386</v>
      </c>
      <c r="F6" s="91" t="s">
        <v>387</v>
      </c>
    </row>
    <row r="7" customFormat="false" ht="69.75" hidden="false" customHeight="true" outlineLevel="0" collapsed="false">
      <c r="A7" s="98" t="s">
        <v>388</v>
      </c>
      <c r="B7" s="92" t="s">
        <v>383</v>
      </c>
      <c r="C7" s="92" t="s">
        <v>389</v>
      </c>
      <c r="D7" s="92" t="s">
        <v>390</v>
      </c>
      <c r="E7" s="92" t="s">
        <v>391</v>
      </c>
      <c r="F7" s="92" t="s">
        <v>392</v>
      </c>
    </row>
    <row r="8" customFormat="false" ht="69.75" hidden="false" customHeight="true" outlineLevel="0" collapsed="false">
      <c r="A8" s="99" t="s">
        <v>284</v>
      </c>
      <c r="B8" s="93" t="s">
        <v>393</v>
      </c>
      <c r="C8" s="93" t="s">
        <v>394</v>
      </c>
      <c r="D8" s="93" t="s">
        <v>379</v>
      </c>
      <c r="E8" s="93" t="s">
        <v>395</v>
      </c>
      <c r="F8" s="93" t="s">
        <v>396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2026-03-10T09:38:21Z</dcterms:created>
  <dc:creator>openpyxl</dc:creator>
  <dc:description/>
  <dc:language>en-US</dc:language>
  <cp:lastModifiedBy/>
  <dcterms:modified xsi:type="dcterms:W3CDTF">2026-03-10T09:38:22Z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